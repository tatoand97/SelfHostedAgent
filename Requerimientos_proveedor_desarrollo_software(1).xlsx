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4AF9D463-4AD0-4CCA-BCD9-1E29FEF75321}" xr6:coauthVersionLast="47" xr6:coauthVersionMax="47" xr10:uidLastSave="{00000000-0000-0000-0000-000000000000}"/>
  <bookViews>
    <workbookView xWindow="-120" yWindow="-120" windowWidth="38640" windowHeight="21120" xr2:uid="{00000000-000D-0000-FFFF-FFFF00000000}"/>
  </bookViews>
  <sheets>
    <sheet name="Resumen y alineación" sheetId="1" r:id="rId1"/>
    <sheet name="Matriz requerimientos" sheetId="2" r:id="rId2"/>
    <sheet name="Evaluación proveedor" sheetId="3" r:id="rId3"/>
    <sheet name="Indicadores" sheetId="4" r:id="rId4"/>
    <sheet name="Catálogos" sheetId="5" r:id="rId5"/>
    <sheet name="Fuen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3" l="1"/>
  <c r="B74" i="3"/>
  <c r="B73" i="3"/>
  <c r="B72" i="3"/>
  <c r="B71" i="3"/>
  <c r="O67" i="3"/>
  <c r="N67" i="3"/>
  <c r="M67" i="3"/>
  <c r="M66" i="3"/>
  <c r="M65" i="3"/>
  <c r="O64" i="3"/>
  <c r="M64" i="3"/>
  <c r="N64" i="3" s="1"/>
  <c r="M63" i="3"/>
  <c r="M62" i="3"/>
  <c r="M61" i="3"/>
  <c r="M60" i="3"/>
  <c r="O59" i="3"/>
  <c r="N59" i="3"/>
  <c r="M59" i="3"/>
  <c r="M58" i="3"/>
  <c r="M57" i="3"/>
  <c r="O56" i="3"/>
  <c r="M56" i="3"/>
  <c r="N56" i="3" s="1"/>
  <c r="M55" i="3"/>
  <c r="M54" i="3"/>
  <c r="M53" i="3"/>
  <c r="M52" i="3"/>
  <c r="O51" i="3"/>
  <c r="N51" i="3"/>
  <c r="M51" i="3"/>
  <c r="M50" i="3"/>
  <c r="M49" i="3"/>
  <c r="O48" i="3"/>
  <c r="N48" i="3"/>
  <c r="M48" i="3"/>
  <c r="M47" i="3"/>
  <c r="M46" i="3"/>
  <c r="M45" i="3"/>
  <c r="M44" i="3"/>
  <c r="M43" i="3"/>
  <c r="M42" i="3"/>
  <c r="M41" i="3"/>
  <c r="M40" i="3"/>
  <c r="M39" i="3"/>
  <c r="N38" i="3"/>
  <c r="M38" i="3"/>
  <c r="O38" i="3" s="1"/>
  <c r="M37" i="3"/>
  <c r="M36" i="3"/>
  <c r="M35" i="3"/>
  <c r="M34" i="3"/>
  <c r="M33" i="3"/>
  <c r="M32" i="3"/>
  <c r="M31" i="3"/>
  <c r="M30" i="3"/>
  <c r="M29" i="3"/>
  <c r="M28" i="3"/>
  <c r="M27" i="3"/>
  <c r="M26" i="3"/>
  <c r="M25" i="3"/>
  <c r="M24" i="3"/>
  <c r="M23" i="3"/>
  <c r="M22" i="3"/>
  <c r="M21" i="3"/>
  <c r="M20" i="3"/>
  <c r="M19" i="3"/>
  <c r="O18" i="3"/>
  <c r="M18" i="3"/>
  <c r="N18" i="3" s="1"/>
  <c r="M17" i="3"/>
  <c r="M16" i="3"/>
  <c r="M15" i="3"/>
  <c r="M14" i="3"/>
  <c r="M13" i="3"/>
  <c r="M12" i="3"/>
  <c r="M11" i="3"/>
  <c r="M10" i="3"/>
  <c r="M9" i="3"/>
  <c r="M8" i="3"/>
  <c r="M7" i="3"/>
  <c r="M6" i="3"/>
  <c r="M5" i="3"/>
  <c r="O66" i="3" l="1"/>
  <c r="N66" i="3"/>
  <c r="O65" i="3"/>
  <c r="N65" i="3"/>
  <c r="O63" i="3"/>
  <c r="N63" i="3"/>
  <c r="O62" i="3"/>
  <c r="N62" i="3"/>
  <c r="O61" i="3"/>
  <c r="N61" i="3"/>
  <c r="O60" i="3"/>
  <c r="N60" i="3"/>
  <c r="O58" i="3"/>
  <c r="N58" i="3"/>
  <c r="N57" i="3"/>
  <c r="O57" i="3"/>
  <c r="O55" i="3"/>
  <c r="N55" i="3"/>
  <c r="N54" i="3"/>
  <c r="O54" i="3"/>
  <c r="N53" i="3"/>
  <c r="O53" i="3"/>
  <c r="O52" i="3"/>
  <c r="N52" i="3"/>
  <c r="O50" i="3"/>
  <c r="N50" i="3"/>
  <c r="O49" i="3"/>
  <c r="N49" i="3"/>
  <c r="N47" i="3"/>
  <c r="O47" i="3"/>
  <c r="N46" i="3"/>
  <c r="O46" i="3"/>
  <c r="O45" i="3"/>
  <c r="N45" i="3"/>
  <c r="N44" i="3"/>
  <c r="O44" i="3"/>
  <c r="N43" i="3"/>
  <c r="O43" i="3"/>
  <c r="N42" i="3"/>
  <c r="O42" i="3"/>
  <c r="N41" i="3"/>
  <c r="O41" i="3"/>
  <c r="N40" i="3"/>
  <c r="O40" i="3"/>
  <c r="N39" i="3"/>
  <c r="O39" i="3"/>
  <c r="O37" i="3"/>
  <c r="N37" i="3"/>
  <c r="O36" i="3"/>
  <c r="N36" i="3"/>
  <c r="N35" i="3"/>
  <c r="O35" i="3"/>
  <c r="O34" i="3"/>
  <c r="N34" i="3"/>
  <c r="O33" i="3"/>
  <c r="N33" i="3"/>
  <c r="N32" i="3"/>
  <c r="O32" i="3"/>
  <c r="N31" i="3"/>
  <c r="O31" i="3"/>
  <c r="O30" i="3"/>
  <c r="N30" i="3"/>
  <c r="O29" i="3"/>
  <c r="N29" i="3"/>
  <c r="N28" i="3"/>
  <c r="O28" i="3"/>
  <c r="O27" i="3"/>
  <c r="N27" i="3"/>
  <c r="N26" i="3"/>
  <c r="O26" i="3"/>
  <c r="N25" i="3"/>
  <c r="O25" i="3"/>
  <c r="N24" i="3"/>
  <c r="O24" i="3"/>
  <c r="O23" i="3"/>
  <c r="N23" i="3"/>
  <c r="N22" i="3"/>
  <c r="O22" i="3"/>
  <c r="O21" i="3"/>
  <c r="N21" i="3"/>
  <c r="O20" i="3"/>
  <c r="N20" i="3"/>
  <c r="O19" i="3"/>
  <c r="N19" i="3"/>
  <c r="O17" i="3"/>
  <c r="N17" i="3"/>
  <c r="O16" i="3"/>
  <c r="N16" i="3"/>
  <c r="O15" i="3"/>
  <c r="N15" i="3"/>
  <c r="O14" i="3"/>
  <c r="N14" i="3"/>
  <c r="O13" i="3"/>
  <c r="N13" i="3"/>
  <c r="O12" i="3"/>
  <c r="N12" i="3"/>
  <c r="O11" i="3"/>
  <c r="N11" i="3"/>
  <c r="O10" i="3"/>
  <c r="N10" i="3"/>
  <c r="O9" i="3"/>
  <c r="N9" i="3"/>
  <c r="O8" i="3"/>
  <c r="N8" i="3"/>
  <c r="O7" i="3"/>
  <c r="N7" i="3"/>
  <c r="O6" i="3"/>
  <c r="N6" i="3"/>
  <c r="O5" i="3"/>
  <c r="N5" i="3"/>
  <c r="B76" i="3" s="1"/>
</calcChain>
</file>

<file path=xl/sharedStrings.xml><?xml version="1.0" encoding="utf-8"?>
<sst xmlns="http://schemas.openxmlformats.org/spreadsheetml/2006/main" count="1476" uniqueCount="690">
  <si>
    <t>Documento base para evaluación de proveedor de desarrollo de software</t>
  </si>
  <si>
    <t>Objetivo</t>
  </si>
  <si>
    <t>Construir una matriz de requerimientos desde cero para evaluar proveedores de desarrollo de software como servicio gestionado, no solo como asignación de personas. Incluye perfiles, capacidad, productividad, arquitectura, construcción, DevSecOps, seguridad, calidad técnica, operación, documentación, IA y mejora continua.</t>
  </si>
  <si>
    <t>Eje definido por la empresa</t>
  </si>
  <si>
    <t>Qué se entendió</t>
  </si>
  <si>
    <t>Cómo lo cubre este Excel</t>
  </si>
  <si>
    <t>Hoja principal</t>
  </si>
  <si>
    <t>Estado</t>
  </si>
  <si>
    <t>Contratar servicio y no solo personas</t>
  </si>
  <si>
    <t>El proveedor debe explicar cómo gestiona el servicio y sus resultados.</t>
  </si>
  <si>
    <t>Incluye requerimientos de gobierno, reporting, aceptación, capacidad y productividad.</t>
  </si>
  <si>
    <t>Matriz requerimientos / Evaluación proveedor</t>
  </si>
  <si>
    <t>Alineado</t>
  </si>
  <si>
    <t>Completar desarrollo, no solo calidad</t>
  </si>
  <si>
    <t>El documento base tenía mayor avance en calidad, pero faltaba desarrollo.</t>
  </si>
  <si>
    <t>Se construyen dominios propios de desarrollo: arquitectura, código, DevSecOps, seguridad, operación e IA.</t>
  </si>
  <si>
    <t>Matriz requerimientos</t>
  </si>
  <si>
    <t>Definir perfiles, stack, seniority y herramientas</t>
  </si>
  <si>
    <t>Se debe evaluar si los perfiles cumplen conocimientos, seniority y manejo de herramientas.</t>
  </si>
  <si>
    <t>Incluye sección de gestión de perfiles y seniority con evidencias y criterios mínimos.</t>
  </si>
  <si>
    <t>Gestionar capacidad</t>
  </si>
  <si>
    <t>El proveedor debe mostrar ocupación, disponibilidad y sobrecarga por célula/proyecto.</t>
  </si>
  <si>
    <t>Incluye capacidad por recurso, demanda, dedicación real, impedimentos y predictibilidad.</t>
  </si>
  <si>
    <t>Matriz requerimientos / Indicadores</t>
  </si>
  <si>
    <t>Medir productividad</t>
  </si>
  <si>
    <t>Se requieren métricas como lead time, throughput, tiempo de ciclo y automatización.</t>
  </si>
  <si>
    <t>Incluye KPIs de flujo, DORA, retrabajo, cumplimiento y eficiencia.</t>
  </si>
  <si>
    <t>Indicadores</t>
  </si>
  <si>
    <t>Controlar reprocesos y defectos</t>
  </si>
  <si>
    <t>Se busca evitar pagar horas por mala calidad o devoluciones recurrentes.</t>
  </si>
  <si>
    <t>Incluye retrabajo, defect leakage, quality gates, RCA y criterios de aceptación.</t>
  </si>
  <si>
    <t>Incluir IA y herramientas modernas</t>
  </si>
  <si>
    <t>Los procesos de desarrollo evolucionaron con IA y herramientas de productividad.</t>
  </si>
  <si>
    <t>Incluye uso responsable de IA, aceleradores, automatización de análisis y reutilización.</t>
  </si>
  <si>
    <t>Evaluación integral desarrollo + QA</t>
  </si>
  <si>
    <t>No se debe evaluar con una visión corta solo del rol; debe verse integralmente.</t>
  </si>
  <si>
    <t>La matriz permite evaluar servicio completo con evidencia, indicadores, criterios y puntaje.</t>
  </si>
  <si>
    <t>Evaluación proveedor</t>
  </si>
  <si>
    <t>Recomendación de uso</t>
  </si>
  <si>
    <t>1</t>
  </si>
  <si>
    <t>Usar la hoja Matriz requerimientos como base para el documento contractual/RFI/RFP.</t>
  </si>
  <si>
    <t>2</t>
  </si>
  <si>
    <t>Usar la hoja Evaluación proveedor para calificar cada proveedor con evidencia verificable.</t>
  </si>
  <si>
    <t>3</t>
  </si>
  <si>
    <t>Usar Indicadores para definir KPIs y metas contractuales antes de negociar.</t>
  </si>
  <si>
    <t>4</t>
  </si>
  <si>
    <t>No presentar herramientas como fin; presentarlas como medios para cumplir requerimientos, evidencias y métricas.</t>
  </si>
  <si>
    <t>Nota: las fuentes web usadas para estructurar buenas prácticas están en la hoja 'Fuentes'. La alineación interna se basa en la definición interna de empresa y en los lineamientos esperados para el servicio de desarrollo.</t>
  </si>
  <si>
    <t>ID</t>
  </si>
  <si>
    <t>Dominio</t>
  </si>
  <si>
    <t>Subdominio</t>
  </si>
  <si>
    <t>Requerimiento</t>
  </si>
  <si>
    <t>Descripción / alcance</t>
  </si>
  <si>
    <t>Evidencia esperada del proveedor</t>
  </si>
  <si>
    <t>Indicador asociado</t>
  </si>
  <si>
    <t>Criterio mínimo de aceptación</t>
  </si>
  <si>
    <t>Prioridad</t>
  </si>
  <si>
    <t>Tipo</t>
  </si>
  <si>
    <t>Fuente / referencia</t>
  </si>
  <si>
    <t>REQ-001</t>
  </si>
  <si>
    <t>Gestión de perfiles y seniority</t>
  </si>
  <si>
    <t>Perfiles</t>
  </si>
  <si>
    <t>Definición formal de perfiles de desarrollo por seniority</t>
  </si>
  <si>
    <t>El proveedor debe presentar una matriz de perfiles por rol, nivel de seniority, competencias técnicas, responsabilidades y autonomía esperada.</t>
  </si>
  <si>
    <t>Matriz de perfiles; hojas de vida; pruebas técnicas; certificaciones; experiencia por tecnología.</t>
  </si>
  <si>
    <t>% perfiles que cumplen seniority esperado</t>
  </si>
  <si>
    <t>Perfil asignado debe cumplir stack, experiencia mínima, seniority y responsabilidades definidas para la célula/proyecto.</t>
  </si>
  <si>
    <t>Alta</t>
  </si>
  <si>
    <t>Obligatorio</t>
  </si>
  <si>
    <t>Definición interna de empresa: stack, seniority, herramientas</t>
  </si>
  <si>
    <t>REQ-002</t>
  </si>
  <si>
    <t>Validación técnica previa de perfiles asignados</t>
  </si>
  <si>
    <t>Antes de asignar personas al servicio, el proveedor debe validar competencias técnicas, prácticas de desarrollo, seguridad y entendimiento del ciclo de vida.</t>
  </si>
  <si>
    <t>Resultado de prueba técnica; entrevista técnica; scorecard de evaluación.</t>
  </si>
  <si>
    <t>% perfiles aprobados en validación técnica</t>
  </si>
  <si>
    <t>Ningún perfil inicia sin validación técnica y aprobación del líder técnico o célula.</t>
  </si>
  <si>
    <t>Definición interna de empresa / NIST SSDF</t>
  </si>
  <si>
    <t>REQ-003</t>
  </si>
  <si>
    <t>Plan de onboarding técnico y funcional</t>
  </si>
  <si>
    <t>El proveedor debe ejecutar un plan de incorporación para que el recurso entienda arquitectura, repositorios, estándares, herramientas, seguridad y contexto del negocio.</t>
  </si>
  <si>
    <t>Checklist de onboarding; evidencia de accesos; acta de inducción; plan de conocimiento.</t>
  </si>
  <si>
    <t>Tiempo promedio de onboarding</t>
  </si>
  <si>
    <t>Perfil operativo dentro del tiempo acordado, con checklist completo y validado por líder de célula.</t>
  </si>
  <si>
    <t>Definición interna de empresa</t>
  </si>
  <si>
    <t>REQ-004</t>
  </si>
  <si>
    <t>Plan de reemplazo y continuidad de conocimiento</t>
  </si>
  <si>
    <t>El proveedor debe asegurar reemplazo por ausencia, bajo desempeño, rotación o brechas de nivel, evitando pérdida de contexto.</t>
  </si>
  <si>
    <t>Plan de backup; handover; documentación actualizada; bitácora de conocimiento.</t>
  </si>
  <si>
    <t>Tiempo promedio de reemplazo; # devoluciones de perfiles</t>
  </si>
  <si>
    <t>Reemplazo máximo según SLA y con transferencia formal antes de asumir tareas críticas.</t>
  </si>
  <si>
    <t>Definición interna de empresa: reemplazos y servicio</t>
  </si>
  <si>
    <t>REQ-005</t>
  </si>
  <si>
    <t>Gestión de desempeño de perfiles asignados</t>
  </si>
  <si>
    <t>El proveedor debe gestionar desempeño técnico, productividad, actitud, cumplimiento y calidad del trabajo de sus perfiles.</t>
  </si>
  <si>
    <t>Evaluaciones periódicas; plan de mejora; seguimiento de KPIs individuales y de célula.</t>
  </si>
  <si>
    <t>% terceros evaluados satisfactoriamente</t>
  </si>
  <si>
    <t>Planes de acción para perfiles con bajo desempeño o baja integración.</t>
  </si>
  <si>
    <t>Media</t>
  </si>
  <si>
    <t>REQ-006</t>
  </si>
  <si>
    <t>Escalamiento o reducción de perfiles según demanda</t>
  </si>
  <si>
    <t>El proveedor debe demostrar capacidad para aumentar o disminuir perfiles sin afectar continuidad del servicio.</t>
  </si>
  <si>
    <t>Modelo de ramp-up/ramp-down; banco de perfiles; tiempos de disponibilidad.</t>
  </si>
  <si>
    <t>Tiempo de asignación de nuevos perfiles</t>
  </si>
  <si>
    <t>Capacidad disponible documentada y tiempo máximo de asignación comprometido.</t>
  </si>
  <si>
    <t>Deseable</t>
  </si>
  <si>
    <t>REQ-007</t>
  </si>
  <si>
    <t>Gestión de capacidad y demanda</t>
  </si>
  <si>
    <t>Capacidad</t>
  </si>
  <si>
    <t>Planeación de capacidad por célula, proyecto o producto</t>
  </si>
  <si>
    <t>El proveedor debe reportar la capacidad asignada, disponible, comprometida y sobrecargada por persona, célula, historia, épica o proyecto.</t>
  </si>
  <si>
    <t>Reporte de capacidad; tablero de asignación; matriz de dedicación por recurso.</t>
  </si>
  <si>
    <t>% utilización por recurso/célula</t>
  </si>
  <si>
    <t>Reporte actualizado con porcentajes de ocupación, capacidad libre y sobrecarga.</t>
  </si>
  <si>
    <t>Definición interna de empresa: 10%, 20%, 30%, 40% de capacidad</t>
  </si>
  <si>
    <t>REQ-008</t>
  </si>
  <si>
    <t>Visibilidad de dedicación real por recurso</t>
  </si>
  <si>
    <t>Debe permitir identificar si una persona está subutilizada, a capacidad completa o sobreasignada.</t>
  </si>
  <si>
    <t>Timesheet, tablero de trabajo, matriz de dedicación o reporte equivalente.</t>
  </si>
  <si>
    <t>% desviación capacidad planificada vs real</t>
  </si>
  <si>
    <t>Dedicación reportada por periodo y conciliada con entregables reales.</t>
  </si>
  <si>
    <t>REQ-009</t>
  </si>
  <si>
    <t>Gestión de demanda y priorización técnica</t>
  </si>
  <si>
    <t>El proveedor debe participar en refinamiento, estimación y priorización técnica para comprometer capacidad realista.</t>
  </si>
  <si>
    <t>Actas de refinamiento; estimaciones; criterios técnicos; backlog priorizado.</t>
  </si>
  <si>
    <t>% compromisos cumplidos</t>
  </si>
  <si>
    <t>Compromisos basados en capacidad real y dependencias explícitas.</t>
  </si>
  <si>
    <t>Definición interna de empresa / DORA</t>
  </si>
  <si>
    <t>REQ-010</t>
  </si>
  <si>
    <t>Gestión de impedimentos técnicos</t>
  </si>
  <si>
    <t>El proveedor debe registrar, escalar y cerrar impedimentos que afecten la entrega.</t>
  </si>
  <si>
    <t>Registro de impedimentos; responsables; fechas de escalamiento y cierre.</t>
  </si>
  <si>
    <t>Tiempo promedio de resolución de impedimentos</t>
  </si>
  <si>
    <t>Impedimentos críticos escalados en máximo 1 día hábil o según SLA.</t>
  </si>
  <si>
    <t>REQ-011</t>
  </si>
  <si>
    <t>Predictibilidad de entrega</t>
  </si>
  <si>
    <t>El proveedor debe comparar estimaciones contra ejecución real y explicar desviaciones.</t>
  </si>
  <si>
    <t>Reporte estimado vs real; burndown/burnup; evidencia de cierre.</t>
  </si>
  <si>
    <t>% entregas cumplidas en fecha comprometida</t>
  </si>
  <si>
    <t>Desviaciones justificadas con acciones preventivas.</t>
  </si>
  <si>
    <t>DORA / buenas prácticas ágiles</t>
  </si>
  <si>
    <t>REQ-012</t>
  </si>
  <si>
    <t>Productividad y flujo de entrega</t>
  </si>
  <si>
    <t>Flujo</t>
  </si>
  <si>
    <t>Medición de Lead Time</t>
  </si>
  <si>
    <t>Medir el tiempo desde que un cambio queda listo para desarrollo o se compromete hasta que llega a producción o ambiente objetivo.</t>
  </si>
  <si>
    <t>Reporte del ALM/DevOps; dashboard por producto/célula.</t>
  </si>
  <si>
    <t>Lead Time promedio</t>
  </si>
  <si>
    <t>Tendencia controlada y análisis de variaciones relevantes.</t>
  </si>
  <si>
    <t>DORA</t>
  </si>
  <si>
    <t>REQ-013</t>
  </si>
  <si>
    <t>Medición de Throughput</t>
  </si>
  <si>
    <t>Medir la cantidad de historias, defectos, cambios o entregables completados por periodo.</t>
  </si>
  <si>
    <t>Reporte de tablero ágil; reporte de releases o issues cerrados.</t>
  </si>
  <si>
    <t>Throughput por sprint/mes</t>
  </si>
  <si>
    <t>Throughput visible por célula y periodo, sin sacrificar calidad.</t>
  </si>
  <si>
    <t>DORA / gestión de productividad</t>
  </si>
  <si>
    <t>REQ-014</t>
  </si>
  <si>
    <t>Medición de tiempo de ciclo</t>
  </si>
  <si>
    <t>Medir el tiempo real de trabajo desde inicio de desarrollo hasta cumplimiento de DoD.</t>
  </si>
  <si>
    <t>Dashboard de ciclo; estado de tickets; timestamps del tablero.</t>
  </si>
  <si>
    <t>Tiempo de ciclo promedio</t>
  </si>
  <si>
    <t>Identificación de cuellos de botella y acciones de mejora.</t>
  </si>
  <si>
    <t>DORA / Lean</t>
  </si>
  <si>
    <t>REQ-015</t>
  </si>
  <si>
    <t>Reducción de retrabajo</t>
  </si>
  <si>
    <t>El proveedor debe medir y reducir devoluciones por defectos, entendimiento incompleto, mala implementación o incumplimiento de estándares.</t>
  </si>
  <si>
    <t>Reporte de retrabajo; defectos reabiertos; devoluciones QA; plan de mejora.</t>
  </si>
  <si>
    <t>% retrabajo por defecto de desarrollo</t>
  </si>
  <si>
    <t>No trasladar al cliente reprocesos originados por mala calidad del desarrollo, según reglas contractuales.</t>
  </si>
  <si>
    <t>Definición interna de empresa: reprocesos calidad/desarrollo</t>
  </si>
  <si>
    <t>REQ-016</t>
  </si>
  <si>
    <t>Compromiso con resultados esperados</t>
  </si>
  <si>
    <t>El proveedor debe comprometer resultados y no solo disponibilidad de horas/personas.</t>
  </si>
  <si>
    <t>Modelo de servicio; compromisos de entrega; KPIs de valor y productividad.</t>
  </si>
  <si>
    <t>% cumplimiento de objetivos de entrega</t>
  </si>
  <si>
    <t>Resultados medibles acordados por periodo y reportados al comité.</t>
  </si>
  <si>
    <t>Definición interna de empresa: servicio vs persona</t>
  </si>
  <si>
    <t>REQ-017</t>
  </si>
  <si>
    <t>Optimización continua del flujo de desarrollo</t>
  </si>
  <si>
    <t>El proveedor debe identificar cuellos de botella y proponer mejoras de proceso, automatización o tooling.</t>
  </si>
  <si>
    <t>Backlog de mejora; análisis de flujo; reporte de mejoras implementadas.</t>
  </si>
  <si>
    <t>% reducción de tiempo</t>
  </si>
  <si>
    <t>Mejoras priorizadas por impacto y ejecutadas con evidencia.</t>
  </si>
  <si>
    <t>DORA / mejora continua</t>
  </si>
  <si>
    <t>REQ-018</t>
  </si>
  <si>
    <t>Arquitectura y diseño técnico</t>
  </si>
  <si>
    <t>Arquitectura</t>
  </si>
  <si>
    <t>Cumplimiento de lineamientos de arquitectura de Tuya</t>
  </si>
  <si>
    <t>Todo desarrollo debe cumplir patrones, estándares, plantillas, librerías y restricciones de arquitectura definidas por Tuya.</t>
  </si>
  <si>
    <t>Checklist de arquitectura; aprobación técnica; evidencia de uso de plantillas.</t>
  </si>
  <si>
    <t>% entregables conformes a estándares</t>
  </si>
  <si>
    <t>Sin aprobación de arquitectura no deben pasar cambios críticos a construcción/despliegue.</t>
  </si>
  <si>
    <t>Definición interna de empresa / gobierno técnico</t>
  </si>
  <si>
    <t>REQ-019</t>
  </si>
  <si>
    <t>Diseño técnico previo para cambios relevantes</t>
  </si>
  <si>
    <t>El proveedor debe elaborar diseños técnicos antes de construir funcionalidades críticas o integraciones relevantes.</t>
  </si>
  <si>
    <t>Diseño técnico; diagramas; especificación de API; modelo de datos; decisiones técnicas.</t>
  </si>
  <si>
    <t>% cambios críticos con diseño aprobado</t>
  </si>
  <si>
    <t>Diseño aprobado por arquitectura/líder técnico antes de iniciar construcción.</t>
  </si>
  <si>
    <t>Buenas prácticas arquitectura</t>
  </si>
  <si>
    <t>REQ-020</t>
  </si>
  <si>
    <t>Registro de decisiones de arquitectura - ADR</t>
  </si>
  <si>
    <t>Las decisiones significativas deben documentarse indicando contexto, decisión, alternativas y consecuencias.</t>
  </si>
  <si>
    <t>ADR en repositorio o wiki; revisión por pares.</t>
  </si>
  <si>
    <t># ADRs por cambio crítico</t>
  </si>
  <si>
    <t>Decisiones críticas documentadas y versionadas.</t>
  </si>
  <si>
    <t>REQ-021</t>
  </si>
  <si>
    <t>Análisis de impacto técnico</t>
  </si>
  <si>
    <t>Antes de cambios relevantes, el proveedor debe evaluar impacto en seguridad, performance, mantenibilidad, operación, integraciones y datos.</t>
  </si>
  <si>
    <t>Matriz de impacto; acta de revisión; plan de mitigación.</t>
  </si>
  <si>
    <t>% cambios con análisis de impacto</t>
  </si>
  <si>
    <t>Impactos y riesgos identificados antes de aprobación de desarrollo.</t>
  </si>
  <si>
    <t>NIST SSDF / buenas prácticas</t>
  </si>
  <si>
    <t>REQ-022</t>
  </si>
  <si>
    <t>Gestión de deuda técnica</t>
  </si>
  <si>
    <t>El proveedor debe identificar, registrar, priorizar y reducir deuda técnica generada o encontrada durante el servicio.</t>
  </si>
  <si>
    <t>Backlog técnico; reporte SonarQube u otra herramienta; plan de remediación.</t>
  </si>
  <si>
    <t>% deuda técnica reducida</t>
  </si>
  <si>
    <t>Deuda nueva justificada y deuda prioritaria con plan de corrección.</t>
  </si>
  <si>
    <t>Definición interna de empresa / SonarQube</t>
  </si>
  <si>
    <t>REQ-023</t>
  </si>
  <si>
    <t>Diseño para mantenibilidad y escalabilidad</t>
  </si>
  <si>
    <t>El software entregado debe favorecer bajo acoplamiento, modularidad, pruebas, trazabilidad y facilidad de evolución.</t>
  </si>
  <si>
    <t>Revisión técnica; evidencia de patrones; métricas de complejidad; documentación.</t>
  </si>
  <si>
    <t>Índice de mantenibilidad / complejidad</t>
  </si>
  <si>
    <t>No superar umbrales definidos de complejidad, duplicidad y deuda.</t>
  </si>
  <si>
    <t>Buenas prácticas ingeniería</t>
  </si>
  <si>
    <t>REQ-024</t>
  </si>
  <si>
    <t>Construcción y estándares de código</t>
  </si>
  <si>
    <t>Código</t>
  </si>
  <si>
    <t>Cumplimiento de estándares de codificación</t>
  </si>
  <si>
    <t>El proveedor debe aplicar estándares de código, convenciones, linters, analizadores y reglas corporativas.</t>
  </si>
  <si>
    <t>Reporte linters/Sonar; checklist; configuración de reglas en repositorio.</t>
  </si>
  <si>
    <t>% cumplimiento estándar de código</t>
  </si>
  <si>
    <t>Cambios no deben integrarse si incumplen reglas bloqueantes.</t>
  </si>
  <si>
    <t>Definición interna de empresa: calidad de código / SonarQube</t>
  </si>
  <si>
    <t>REQ-025</t>
  </si>
  <si>
    <t>Code review obligatorio mediante pull request</t>
  </si>
  <si>
    <t>Todo cambio debe pasar por revisión técnica antes de merge.</t>
  </si>
  <si>
    <t>Pull request con revisores, comentarios resueltos y aprobación.</t>
  </si>
  <si>
    <t>% PR con revisión aprobada</t>
  </si>
  <si>
    <t>Mínimo un aprobador técnico; cambios críticos con aprobador senior/arquitectura.</t>
  </si>
  <si>
    <t>REQ-026</t>
  </si>
  <si>
    <t>Definition of Ready y Definition of Done técnica</t>
  </si>
  <si>
    <t>Debe existir una definición clara para iniciar y cerrar historias considerando diseño, pruebas, seguridad, documentación y despliegue.</t>
  </si>
  <si>
    <t>DoR/DoD documentada; checklist por historia; evidencia en tablero.</t>
  </si>
  <si>
    <t>% historias cerradas con DoD completo</t>
  </si>
  <si>
    <t>Historia no se cierra sin cumplir DoD técnico.</t>
  </si>
  <si>
    <t>Buenas prácticas ágiles</t>
  </si>
  <si>
    <t>REQ-027</t>
  </si>
  <si>
    <t>Trazabilidad historia - commit - PR - build - release</t>
  </si>
  <si>
    <t>Cada cambio debe permitir seguir la trazabilidad desde requerimiento hasta despliegue.</t>
  </si>
  <si>
    <t>IDs vinculados en Azure DevOps/GitHub/GitLab; historial de pipeline y release.</t>
  </si>
  <si>
    <t>% cambios con trazabilidad completa</t>
  </si>
  <si>
    <t>Todos los cambios productivos deben tener trazabilidad end-to-end.</t>
  </si>
  <si>
    <t>NIST SSDF / auditoría</t>
  </si>
  <si>
    <t>REQ-028</t>
  </si>
  <si>
    <t>Estrategia de ramas y versionamiento</t>
  </si>
  <si>
    <t>El proveedor debe aplicar la estrategia Git definida por Tuya o proponer una alineada con el modelo de entrega.</t>
  </si>
  <si>
    <t>Política de ramas; tags; versionamiento semántico; evidencias de merge.</t>
  </si>
  <si>
    <t>% cambios liberados con versión controlada</t>
  </si>
  <si>
    <t>Sin commits directos a ramas protegidas; control de versiones por release.</t>
  </si>
  <si>
    <t>Buenas prácticas DevOps</t>
  </si>
  <si>
    <t>REQ-029</t>
  </si>
  <si>
    <t>Control de calidad de frameworks y librerías utilizadas</t>
  </si>
  <si>
    <t>El proveedor debe justificar frameworks, librerías y componentes externos considerando soporte, licencia, seguridad y mantenibilidad.</t>
  </si>
  <si>
    <t>Inventario de dependencias; análisis de licencias; aprobación técnica.</t>
  </si>
  <si>
    <t>% dependencias aprobadas</t>
  </si>
  <si>
    <t>No usar librerías no aprobadas, obsoletas o sin soporte sin excepción formal.</t>
  </si>
  <si>
    <t>NIST SSDF / CISA SBOM</t>
  </si>
  <si>
    <t>REQ-030</t>
  </si>
  <si>
    <t>DevSecOps y cadena de suministro</t>
  </si>
  <si>
    <t>CI/CD</t>
  </si>
  <si>
    <t>Integración continua con validaciones automáticas</t>
  </si>
  <si>
    <t>Todo repositorio debe contar con pipeline de build, pruebas y análisis automático según criticidad.</t>
  </si>
  <si>
    <t>Pipeline; logs de ejecución; quality gates; reportes de pruebas.</t>
  </si>
  <si>
    <t>% builds exitosos / % pipelines con gates</t>
  </si>
  <si>
    <t>Build falla si existen errores bloqueantes de compilación, pruebas, seguridad o calidad.</t>
  </si>
  <si>
    <t>NIST SSDF / DORA</t>
  </si>
  <si>
    <t>REQ-031</t>
  </si>
  <si>
    <t>Despliegue automatizado y controlado</t>
  </si>
  <si>
    <t>Los despliegues deben realizarse mediante pipelines con aprobaciones, separación de ambientes y rollback.</t>
  </si>
  <si>
    <t>Release pipeline; bitácora de despliegues; plan de rollback.</t>
  </si>
  <si>
    <t>Deployment frequency; change failure rate</t>
  </si>
  <si>
    <t>Despliegues manuales solo por excepción documentada.</t>
  </si>
  <si>
    <t>DORA / DevOps</t>
  </si>
  <si>
    <t>REQ-032</t>
  </si>
  <si>
    <t>Gestión segura de secretos y configuración</t>
  </si>
  <si>
    <t>El proveedor no debe exponer secretos en código, repositorios, logs ni artefactos.</t>
  </si>
  <si>
    <t>Uso de Key Vault/Vault; políticas de secretos; escaneo de secretos.</t>
  </si>
  <si>
    <t># secretos expuestos</t>
  </si>
  <si>
    <t>Cero secretos en código; rotación inmediata ante hallazgo.</t>
  </si>
  <si>
    <t>NIST SSDF</t>
  </si>
  <si>
    <t>REQ-033</t>
  </si>
  <si>
    <t>Supply chain</t>
  </si>
  <si>
    <t>Escaneo de dependencias vulnerables</t>
  </si>
  <si>
    <t>Debe ejecutarse análisis de componentes, CVEs, licencias y dependencias transitivas.</t>
  </si>
  <si>
    <t>Reporte SCA; plan de remediación; evidencia de actualización.</t>
  </si>
  <si>
    <t>% vulnerabilidades dependencias corregidas en SLA</t>
  </si>
  <si>
    <t>Sin vulnerabilidades críticas/altas abiertas fuera del SLA.</t>
  </si>
  <si>
    <t>REQ-034</t>
  </si>
  <si>
    <t>Generación de SBOM por aplicación o release</t>
  </si>
  <si>
    <t>El proveedor debe entregar inventario de componentes por aplicación o release para visibilidad de cadena de suministro.</t>
  </si>
  <si>
    <t>SBOM en formato acordado; inventario de librerías, versiones y licencias.</t>
  </si>
  <si>
    <t>% releases con SBOM</t>
  </si>
  <si>
    <t>Cada release relevante debe tener SBOM actualizado y trazable.</t>
  </si>
  <si>
    <t>CISA SBOM</t>
  </si>
  <si>
    <t>REQ-035</t>
  </si>
  <si>
    <t>Quality gates bloqueantes</t>
  </si>
  <si>
    <t>Los gates de calidad, pruebas, seguridad y cobertura deben bloquear integración o despliegue cuando no se cumplan umbrales.</t>
  </si>
  <si>
    <t>Configuración de gates; reporte Sonar/SAST/DAST/SCA; logs pipeline.</t>
  </si>
  <si>
    <t>% cambios bloqueados por gates</t>
  </si>
  <si>
    <t>No pasar a ambiente superior con hallazgos bloqueantes.</t>
  </si>
  <si>
    <t>NIST SSDF / OWASP SAMM</t>
  </si>
  <si>
    <t>REQ-036</t>
  </si>
  <si>
    <t>Desarrollo seguro</t>
  </si>
  <si>
    <t>Seguridad</t>
  </si>
  <si>
    <t>Desarrollo seguro desde diseño</t>
  </si>
  <si>
    <t>El proveedor debe incluir prácticas de seguridad desde análisis y diseño, no solo al final de pruebas.</t>
  </si>
  <si>
    <t>Checklist seguridad; análisis de riesgos; controles aplicados.</t>
  </si>
  <si>
    <t>% historias con criterios de seguridad</t>
  </si>
  <si>
    <t>Historias críticas deben incluir criterios de seguridad antes de desarrollo.</t>
  </si>
  <si>
    <t>REQ-037</t>
  </si>
  <si>
    <t>Modelado de amenazas para componentes críticos</t>
  </si>
  <si>
    <t>En componentes críticos, APIs, datos sensibles o integraciones, se debe realizar análisis de amenazas y mitigaciones.</t>
  </si>
  <si>
    <t>Modelo de amenazas; matriz de riesgos; plan de mitigación.</t>
  </si>
  <si>
    <t>% componentes críticos con threat model</t>
  </si>
  <si>
    <t>Amenazas de alto riesgo mitigadas antes de producción.</t>
  </si>
  <si>
    <t>REQ-038</t>
  </si>
  <si>
    <t>Corrección de vulnerabilidades dentro de SLA</t>
  </si>
  <si>
    <t>El proveedor debe corregir hallazgos de seguridad según severidad y acuerdos de servicio.</t>
  </si>
  <si>
    <t>Reporte de vulnerabilidades; tickets; evidencia de remediación y retest.</t>
  </si>
  <si>
    <t>% vulnerabilidades corregidas en SLA</t>
  </si>
  <si>
    <t>Críticas y altas corregidas dentro del SLA definido.</t>
  </si>
  <si>
    <t>REQ-039</t>
  </si>
  <si>
    <t>Cumplimiento OWASP ASVS/Top 10 según criticidad</t>
  </si>
  <si>
    <t>Los desarrollos deben cumplir controles de seguridad aplicables según criticidad, exposición y tipo de aplicación.</t>
  </si>
  <si>
    <t>Checklist OWASP; pruebas de seguridad; evidencia de controles.</t>
  </si>
  <si>
    <t>% controles aplicables cumplidos</t>
  </si>
  <si>
    <t>Controles críticos cumplidos antes de salida a producción.</t>
  </si>
  <si>
    <t>OWASP SAMM / OWASP</t>
  </si>
  <si>
    <t>REQ-040</t>
  </si>
  <si>
    <t>No introducción de vulnerabilidades conocidas</t>
  </si>
  <si>
    <t>El proveedor debe evitar introducir código o dependencias con vulnerabilidades conocidas.</t>
  </si>
  <si>
    <t>Quality gates; reporte SAST/SCA; revisión de PR.</t>
  </si>
  <si>
    <t># vulnerabilidades nuevas por release</t>
  </si>
  <si>
    <t>Cero vulnerabilidades críticas/altas nuevas sin excepción aprobada.</t>
  </si>
  <si>
    <t>REQ-041</t>
  </si>
  <si>
    <t>Calidad técnica y pruebas</t>
  </si>
  <si>
    <t>Pruebas</t>
  </si>
  <si>
    <t>Cobertura de pruebas automatizadas</t>
  </si>
  <si>
    <t>El proveedor debe entregar pruebas unitarias, integración, contrato, API o E2E según tipo de componente.</t>
  </si>
  <si>
    <t>Reporte de cobertura; resultados de pruebas; pipeline.</t>
  </si>
  <si>
    <t>% cobertura pruebas automatizadas</t>
  </si>
  <si>
    <t>Cobertura mínima definida por producto y criticidad.</t>
  </si>
  <si>
    <t>Definición interna de empresa / buenas prácticas QA</t>
  </si>
  <si>
    <t>REQ-042</t>
  </si>
  <si>
    <t>Pruebas de integración y contrato</t>
  </si>
  <si>
    <t>Para integraciones entre servicios, debe validar contratos, errores, timeouts, versionamiento y compatibilidad.</t>
  </si>
  <si>
    <t>Resultados de pruebas; contrato API; mocks/stubs; pipeline.</t>
  </si>
  <si>
    <t>% integraciones con pruebas de contrato</t>
  </si>
  <si>
    <t>Integraciones críticas con pruebas automatizadas.</t>
  </si>
  <si>
    <t>REQ-043</t>
  </si>
  <si>
    <t>Defectos por pase a producción</t>
  </si>
  <si>
    <t>Debe medirse cuántos defectos llegan a producción por release, módulo o célula.</t>
  </si>
  <si>
    <t>Reporte de incidentes/defectos; RCA; relación con release.</t>
  </si>
  <si>
    <t>Defect leakage / defectos productivos</t>
  </si>
  <si>
    <t>Tendencia decreciente y RCA para defectos críticos.</t>
  </si>
  <si>
    <t>Definición interna de empresa: reprocesos/defectos</t>
  </si>
  <si>
    <t>REQ-044</t>
  </si>
  <si>
    <t>Criterios de aceptación técnicos verificables</t>
  </si>
  <si>
    <t>Cada historia debe tener criterios funcionales y técnicos verificables antes de cierre.</t>
  </si>
  <si>
    <t>Historia con criterios; evidencia de prueba; validación QA/PO/técnica.</t>
  </si>
  <si>
    <t>% historias con criterios completos</t>
  </si>
  <si>
    <t>No cerrar historia sin evidencia de validación.</t>
  </si>
  <si>
    <t>REQ-045</t>
  </si>
  <si>
    <t>Plan de prevención de defectos recurrentes</t>
  </si>
  <si>
    <t>El proveedor debe identificar patrones de defectos repetidos y aplicar acciones correctivas.</t>
  </si>
  <si>
    <t>Análisis causa raíz; plan de prevención; actualización de estándares o pruebas.</t>
  </si>
  <si>
    <t>% defectos recurrentes</t>
  </si>
  <si>
    <t>Defectos recurrentes con causa raíz y acción preventiva.</t>
  </si>
  <si>
    <t>REQ-046</t>
  </si>
  <si>
    <t>Operación, soporte y observabilidad</t>
  </si>
  <si>
    <t>Soporte</t>
  </si>
  <si>
    <t>Soporte post-despliegue y estabilización</t>
  </si>
  <si>
    <t>El proveedor debe acompañar los despliegues y estabilizar entregas durante el periodo acordado.</t>
  </si>
  <si>
    <t>Plan de estabilización; bitácora de soporte; reporte de incidentes.</t>
  </si>
  <si>
    <t>Tiempo de recuperación / incidentes post-release</t>
  </si>
  <si>
    <t>Incidentes derivados del desarrollo atendidos dentro del SLA.</t>
  </si>
  <si>
    <t>DORA / servicio gestionado</t>
  </si>
  <si>
    <t>REQ-047</t>
  </si>
  <si>
    <t>Observabilidad</t>
  </si>
  <si>
    <t>Observabilidad mínima del software entregado</t>
  </si>
  <si>
    <t>El software debe incluir logs, métricas, trazas, correlación y alertas cuando aplique.</t>
  </si>
  <si>
    <t>Dashboard; configuración de logs; métricas; trazabilidad de errores.</t>
  </si>
  <si>
    <t>% servicios con observabilidad mínima</t>
  </si>
  <si>
    <t>Servicios críticos con monitoreo y diagnóstico operable.</t>
  </si>
  <si>
    <t>Buenas prácticas operación</t>
  </si>
  <si>
    <t>REQ-048</t>
  </si>
  <si>
    <t>Runbooks técnicos</t>
  </si>
  <si>
    <t>Debe entregar procedimientos de despliegue, rollback, diagnóstico, soporte y recuperación.</t>
  </si>
  <si>
    <t>Runbook; guía operación; evidencia de validación.</t>
  </si>
  <si>
    <t>% entregables con runbook</t>
  </si>
  <si>
    <t>Todo componente crítico debe tener runbook actualizado.</t>
  </si>
  <si>
    <t>REQ-049</t>
  </si>
  <si>
    <t>Análisis causa raíz de incidentes</t>
  </si>
  <si>
    <t>Incidentes derivados del desarrollo deben contar con RCA y acciones preventivas.</t>
  </si>
  <si>
    <t>RCA; acciones; responsable; fecha compromiso.</t>
  </si>
  <si>
    <t>% incidentes con RCA</t>
  </si>
  <si>
    <t>RCA obligatorio para incidentes críticos o recurrentes.</t>
  </si>
  <si>
    <t>REQ-050</t>
  </si>
  <si>
    <t>Documentación y transferencia</t>
  </si>
  <si>
    <t>Documentación</t>
  </si>
  <si>
    <t>Documentación técnica obligatoria</t>
  </si>
  <si>
    <t>El proveedor debe entregar documentación técnica de arquitectura, configuración, despliegue, APIs, dependencias y operación.</t>
  </si>
  <si>
    <t>README; wiki; diagramas; especificaciones; documentación de APIs.</t>
  </si>
  <si>
    <t>% documentación completa</t>
  </si>
  <si>
    <t>No se acepta entrega sin documentación mínima definida.</t>
  </si>
  <si>
    <t>Definición interna de empresa / transferencia</t>
  </si>
  <si>
    <t>REQ-051</t>
  </si>
  <si>
    <t>Documentación de decisiones y cambios</t>
  </si>
  <si>
    <t>Cada cambio relevante debe incluir qué cambió, por qué, impacto, limitaciones y consideraciones operativas.</t>
  </si>
  <si>
    <t>Release notes; ADR; acta técnica; changelog.</t>
  </si>
  <si>
    <t>% cambios con documentación</t>
  </si>
  <si>
    <t>Cambios productivos con registro trazable.</t>
  </si>
  <si>
    <t>Buenas prácticas</t>
  </si>
  <si>
    <t>REQ-052</t>
  </si>
  <si>
    <t>Transferencia</t>
  </si>
  <si>
    <t>Transferencia de conocimiento al equipo interno</t>
  </si>
  <si>
    <t>El proveedor debe transferir conocimiento técnico y funcional de forma periódica.</t>
  </si>
  <si>
    <t>Sesiones grabadas; actas; guías; repositorio de conocimiento.</t>
  </si>
  <si>
    <t># sesiones transferencia / % asistencia</t>
  </si>
  <si>
    <t>Transferencias realizadas antes de cierre de fase o reemplazos.</t>
  </si>
  <si>
    <t>REQ-053</t>
  </si>
  <si>
    <t>Calidad de la documentación</t>
  </si>
  <si>
    <t>La documentación debe ser comprensible, actualizada, trazable y útil para operar/mantener el software.</t>
  </si>
  <si>
    <t>Revisión documental; checklist; aprobación líder técnico.</t>
  </si>
  <si>
    <t>% documentos aprobados</t>
  </si>
  <si>
    <t>Documentación incompleta o desactualizada bloquea aceptación de entrega.</t>
  </si>
  <si>
    <t>REQ-054</t>
  </si>
  <si>
    <t>IA, automatización y aceleradores</t>
  </si>
  <si>
    <t>IA</t>
  </si>
  <si>
    <t>Uso responsable de IA en desarrollo</t>
  </si>
  <si>
    <t>El proveedor debe describir cómo usa IA sin exponer datos sensibles, código propietario o información regulada.</t>
  </si>
  <si>
    <t>Política de IA; controles; evidencia de revisión humana.</t>
  </si>
  <si>
    <t>% uso IA con controles aplicados</t>
  </si>
  <si>
    <t>Uso de IA condicionado a lineamientos de seguridad y revisión humana.</t>
  </si>
  <si>
    <t>Definición interna de empresa: IA / herramientas productividad</t>
  </si>
  <si>
    <t>REQ-055</t>
  </si>
  <si>
    <t>Generación asistida de código con control de calidad</t>
  </si>
  <si>
    <t>Código generado con IA debe pasar revisión, pruebas, seguridad y estándares como cualquier otro código.</t>
  </si>
  <si>
    <t>PR; reportes de prueba; revisión técnica; trazabilidad de uso.</t>
  </si>
  <si>
    <t>% código asistido revisado</t>
  </si>
  <si>
    <t>No se acepta código IA sin revisión humana y validación automática.</t>
  </si>
  <si>
    <t>NIST SSDF / buenas prácticas IA</t>
  </si>
  <si>
    <t>REQ-056</t>
  </si>
  <si>
    <t>Aceleradores</t>
  </si>
  <si>
    <t>Aceleradores reutilizables</t>
  </si>
  <si>
    <t>El proveedor debe proponer plantillas, scaffolding, librerías o componentes reutilizables para acelerar entregas.</t>
  </si>
  <si>
    <t>Repositorio de aceleradores; documentación; evidencias de uso.</t>
  </si>
  <si>
    <t>% reutilización de componentes</t>
  </si>
  <si>
    <t>Aceleradores aprobados por gobierno técnico antes de uso masivo.</t>
  </si>
  <si>
    <t>REQ-057</t>
  </si>
  <si>
    <t>Automatización</t>
  </si>
  <si>
    <t>Automatización de análisis de código</t>
  </si>
  <si>
    <t>El proveedor debe automatizar análisis estático, calidad, seguridad, cobertura y dependencias.</t>
  </si>
  <si>
    <t>Pipeline; Sonar/SAST/SCA; reglas configuradas.</t>
  </si>
  <si>
    <t>% automatización de validaciones</t>
  </si>
  <si>
    <t>Validaciones automáticas obligatorias en cambios críticos.</t>
  </si>
  <si>
    <t>REQ-058</t>
  </si>
  <si>
    <t>Eliminación de tareas manuales repetitivas</t>
  </si>
  <si>
    <t>Debe identificar y automatizar actividades repetitivas que afecten tiempos y calidad.</t>
  </si>
  <si>
    <t>Lista de automatizaciones; antes/después; ahorro estimado.</t>
  </si>
  <si>
    <t>% ahorro de esfuerzo</t>
  </si>
  <si>
    <t>Automatizaciones con beneficio medible y mantenibles.</t>
  </si>
  <si>
    <t>REQ-059</t>
  </si>
  <si>
    <t>Gobierno, reporting y mejora continua</t>
  </si>
  <si>
    <t>Gobierno</t>
  </si>
  <si>
    <t>Reporte periódico de servicio</t>
  </si>
  <si>
    <t>El proveedor debe presentar avance, capacidad, productividad, calidad, riesgos, impedimentos y acciones de mejora.</t>
  </si>
  <si>
    <t>Informe mensual/semanal; dashboard; comité de seguimiento.</t>
  </si>
  <si>
    <t>% reportes entregados a tiempo</t>
  </si>
  <si>
    <t>Reporte con datos verificables y decisiones requeridas.</t>
  </si>
  <si>
    <t>REQ-060</t>
  </si>
  <si>
    <t>Comité técnico de seguimiento</t>
  </si>
  <si>
    <t>Debe existir un espacio de seguimiento con líderes de célula, arquitectura, seguridad, QA y proveedor.</t>
  </si>
  <si>
    <t>Actas; compromisos; decisiones; seguimiento de acciones.</t>
  </si>
  <si>
    <t>% compromisos cerrados</t>
  </si>
  <si>
    <t>Compromisos con responsable y fecha, seguimiento hasta cierre.</t>
  </si>
  <si>
    <t>REQ-061</t>
  </si>
  <si>
    <t>Mejora continua</t>
  </si>
  <si>
    <t>Propuesta periódica de mejoras técnicas</t>
  </si>
  <si>
    <t>El proveedor debe proponer mejoras de proceso, calidad, seguridad, deuda, automatización y productividad.</t>
  </si>
  <si>
    <t>Backlog de mejoras; business case técnico; priorización.</t>
  </si>
  <si>
    <t># mejoras propuestas / implementadas</t>
  </si>
  <si>
    <t>Mejoras priorizadas según impacto y viabilidad.</t>
  </si>
  <si>
    <t>REQ-062</t>
  </si>
  <si>
    <t>Manejo de riesgos y bloqueos</t>
  </si>
  <si>
    <t>El proveedor debe escalar riesgos, dependencias y bloqueos que comprometan fechas, calidad o seguridad.</t>
  </si>
  <si>
    <t>Matriz de riesgos; plan de mitigación; actas de escalamiento.</t>
  </si>
  <si>
    <t>% riesgos mitigados</t>
  </si>
  <si>
    <t>Riesgos críticos escalados oportunamente y con plan de mitigación.</t>
  </si>
  <si>
    <t>REQ-063</t>
  </si>
  <si>
    <t>Modelo de aceptación de entregables</t>
  </si>
  <si>
    <t>Debe existir una regla clara para aceptar o rechazar entregables por incumplimiento de calidad, seguridad, documentación o criterios técnicos.</t>
  </si>
  <si>
    <t>Checklist aceptación; evidencias; acta de cierre.</t>
  </si>
  <si>
    <t>% entregables aceptados sin reproceso</t>
  </si>
  <si>
    <t>Entregables sin evidencia completa no se aceptan.</t>
  </si>
  <si>
    <t>Evaluación de proveedor de desarrollo de software</t>
  </si>
  <si>
    <t>Proveedor evaluado:</t>
  </si>
  <si>
    <t>Fecha evaluación:</t>
  </si>
  <si>
    <t>2026-07-03</t>
  </si>
  <si>
    <t>Escala:</t>
  </si>
  <si>
    <t>Cumple = 100%, Parcial = 50%, No cumple = 0%. Puntaje ponderado = Puntaje x Peso.</t>
  </si>
  <si>
    <t>Evidencia esperada</t>
  </si>
  <si>
    <t>Criterio mínimo</t>
  </si>
  <si>
    <t>Cumple/No cumple</t>
  </si>
  <si>
    <t>Cómo lo cumple</t>
  </si>
  <si>
    <t>Evidencia adjunta</t>
  </si>
  <si>
    <t>Observaciones</t>
  </si>
  <si>
    <t>Peso</t>
  </si>
  <si>
    <t>Puntaje</t>
  </si>
  <si>
    <t>Puntaje ponderado</t>
  </si>
  <si>
    <t>Decisión</t>
  </si>
  <si>
    <t>Resumen de evaluación</t>
  </si>
  <si>
    <t>Total requisitos</t>
  </si>
  <si>
    <t>Requisitos evaluados</t>
  </si>
  <si>
    <t>Cumple</t>
  </si>
  <si>
    <t>Parcial</t>
  </si>
  <si>
    <t>No cumple</t>
  </si>
  <si>
    <t>Puntaje ponderado total</t>
  </si>
  <si>
    <t>Indicador</t>
  </si>
  <si>
    <t>Definición</t>
  </si>
  <si>
    <t>Fórmula sugerida</t>
  </si>
  <si>
    <t>Fuente de datos</t>
  </si>
  <si>
    <t>Frecuencia</t>
  </si>
  <si>
    <t>Meta sugerida</t>
  </si>
  <si>
    <t>Uso en evaluación</t>
  </si>
  <si>
    <t>KPI-001</t>
  </si>
  <si>
    <t>Porcentaje de perfiles aprobados contra matriz de seniority.</t>
  </si>
  <si>
    <t>Perfiles aprobados / perfiles evaluados</t>
  </si>
  <si>
    <t>Scorecard técnico / validación perfiles</t>
  </si>
  <si>
    <t>Mensual</t>
  </si>
  <si>
    <t>≥ 90%</t>
  </si>
  <si>
    <t>Evalúa madurez en asignación de perfiles</t>
  </si>
  <si>
    <t>KPI-002</t>
  </si>
  <si>
    <t>Tiempo promedio de reemplazo</t>
  </si>
  <si>
    <t>Días desde solicitud de reemplazo hasta ingreso efectivo del nuevo perfil.</t>
  </si>
  <si>
    <t>Fecha ingreso reemplazo - fecha solicitud</t>
  </si>
  <si>
    <t>Solicitud reemplazo / onboarding</t>
  </si>
  <si>
    <t>Por evento</t>
  </si>
  <si>
    <t>≤ SLA contractual</t>
  </si>
  <si>
    <t>Evalúa continuidad del servicio</t>
  </si>
  <si>
    <t>KPI-003</t>
  </si>
  <si>
    <t>Porcentaje de capacidad comprometida por recurso o célula.</t>
  </si>
  <si>
    <t>Horas comprometidas / capacidad disponible</t>
  </si>
  <si>
    <t>Tablero / timesheet / reporte proveedor</t>
  </si>
  <si>
    <t>Semanal</t>
  </si>
  <si>
    <t>80%-95% recomendado</t>
  </si>
  <si>
    <t>Evita sobreasignación/subutilización</t>
  </si>
  <si>
    <t>KPI-004</t>
  </si>
  <si>
    <t>Diferencia entre capacidad planeada y ejecutada.</t>
  </si>
  <si>
    <t>(Real - planeado) / planeado</t>
  </si>
  <si>
    <t>Reporte capacidad / tablero</t>
  </si>
  <si>
    <t>≤ 15%</t>
  </si>
  <si>
    <t>Evalúa planeación realista</t>
  </si>
  <si>
    <t>KPI-005</t>
  </si>
  <si>
    <t>Productividad</t>
  </si>
  <si>
    <t>Tiempo desde commit o solicitud lista hasta despliegue/entrega.</t>
  </si>
  <si>
    <t>Fecha entrega - fecha inicio flujo</t>
  </si>
  <si>
    <t>Azure DevOps/GitHub/Jira</t>
  </si>
  <si>
    <t>Sprint/Mensual</t>
  </si>
  <si>
    <t>Tendencia decreciente</t>
  </si>
  <si>
    <t>DORA/flujo de entrega</t>
  </si>
  <si>
    <t>KPI-006</t>
  </si>
  <si>
    <t>Throughput</t>
  </si>
  <si>
    <t>Cantidad de ítems completados en un periodo.</t>
  </si>
  <si>
    <t># historias/cambios/bugs cerrados</t>
  </si>
  <si>
    <t>Tablero ágil</t>
  </si>
  <si>
    <t>Estable o creciente sin afectar calidad</t>
  </si>
  <si>
    <t>Capacidad de entrega</t>
  </si>
  <si>
    <t>KPI-007</t>
  </si>
  <si>
    <t>Tiempo real desde inicio de desarrollo hasta DoD.</t>
  </si>
  <si>
    <t>Fecha DoD - fecha inicio desarrollo</t>
  </si>
  <si>
    <t>Eficiencia del proceso</t>
  </si>
  <si>
    <t>KPI-008</t>
  </si>
  <si>
    <t>Proporción de esfuerzo destinado a corregir defectos causados por mala construcción.</t>
  </si>
  <si>
    <t>Horas retrabajo / horas desarrollo</t>
  </si>
  <si>
    <t>Defectos QA / timesheet / tickets</t>
  </si>
  <si>
    <t>≤ umbral contractual</t>
  </si>
  <si>
    <t>Evita pagar ineficiencias</t>
  </si>
  <si>
    <t>KPI-009</t>
  </si>
  <si>
    <t>DevOps</t>
  </si>
  <si>
    <t>Deployment frequency</t>
  </si>
  <si>
    <t>Frecuencia de despliegues a ambiente objetivo.</t>
  </si>
  <si>
    <t># despliegues / periodo</t>
  </si>
  <si>
    <t>Pipeline release</t>
  </si>
  <si>
    <t>Según producto</t>
  </si>
  <si>
    <t>KPI-010</t>
  </si>
  <si>
    <t>Change failure rate</t>
  </si>
  <si>
    <t>Porcentaje de despliegues que generan incidente, rollback o corrección urgente.</t>
  </si>
  <si>
    <t>Despliegues fallidos / despliegues totales</t>
  </si>
  <si>
    <t>Pipeline / incidentes</t>
  </si>
  <si>
    <t>Estabilidad de entregas</t>
  </si>
  <si>
    <t>KPI-011</t>
  </si>
  <si>
    <t>Tiempo de recuperación</t>
  </si>
  <si>
    <t>Tiempo para restaurar servicio tras despliegue fallido/incidente.</t>
  </si>
  <si>
    <t>Hora recuperación - hora incidente</t>
  </si>
  <si>
    <t>ITSM / monitoreo</t>
  </si>
  <si>
    <t>Por incidente</t>
  </si>
  <si>
    <t>≤ SLA</t>
  </si>
  <si>
    <t>DORA/operación</t>
  </si>
  <si>
    <t>KPI-012</t>
  </si>
  <si>
    <t>Calidad</t>
  </si>
  <si>
    <t>Defect leakage</t>
  </si>
  <si>
    <t>Defectos encontrados en producción frente al total de defectos.</t>
  </si>
  <si>
    <t>Defectos producción / defectos totales</t>
  </si>
  <si>
    <t>QA / incidentes / producción</t>
  </si>
  <si>
    <t>Calidad de construcción</t>
  </si>
  <si>
    <t>KPI-013</t>
  </si>
  <si>
    <t>Porcentaje del código o funcionalidades cubiertas por pruebas automatizadas.</t>
  </si>
  <si>
    <t>Cobertura reportada por herramienta</t>
  </si>
  <si>
    <t>Pipeline / herramienta test</t>
  </si>
  <si>
    <t>Meta por criticidad</t>
  </si>
  <si>
    <t>Calidad técnica</t>
  </si>
  <si>
    <t>KPI-014</t>
  </si>
  <si>
    <t>Hallazgos cerrados dentro del plazo acordado.</t>
  </si>
  <si>
    <t>Hallazgos en SLA / hallazgos totales</t>
  </si>
  <si>
    <t>SAST/DAST/SCA/Veracode</t>
  </si>
  <si>
    <t>100% críticas/altas</t>
  </si>
  <si>
    <t>Gestión de seguridad</t>
  </si>
  <si>
    <t>KPI-015</t>
  </si>
  <si>
    <t>Releases relevantes que cuentan con inventario de componentes.</t>
  </si>
  <si>
    <t>Releases con SBOM / releases totales</t>
  </si>
  <si>
    <t>Repositorio / pipeline</t>
  </si>
  <si>
    <t>Por release</t>
  </si>
  <si>
    <t>100% para apps críticas</t>
  </si>
  <si>
    <t>Transparencia de dependencias</t>
  </si>
  <si>
    <t>KPI-016</t>
  </si>
  <si>
    <t>% documentación técnica completa</t>
  </si>
  <si>
    <t>Entregables con documentación mínima aprobada.</t>
  </si>
  <si>
    <t>Documentos aprobados / documentos requeridos</t>
  </si>
  <si>
    <t>Checklist documentación</t>
  </si>
  <si>
    <t>Por entrega</t>
  </si>
  <si>
    <t>100% para entregables críticos</t>
  </si>
  <si>
    <t>Transferencia y mantenibilidad</t>
  </si>
  <si>
    <t>KPI-017</t>
  </si>
  <si>
    <t>Mejora</t>
  </si>
  <si>
    <t>Deuda técnica cerrada frente a deuda técnica priorizada.</t>
  </si>
  <si>
    <t>Deuda cerrada / deuda priorizada</t>
  </si>
  <si>
    <t>SonarQube / backlog técnico</t>
  </si>
  <si>
    <t>Trimestral</t>
  </si>
  <si>
    <t>≥ meta acordada</t>
  </si>
  <si>
    <t>KPI-018</t>
  </si>
  <si>
    <t>IA/Aceleradores</t>
  </si>
  <si>
    <t>% ahorro de esfuerzo por automatización</t>
  </si>
  <si>
    <t>Estimación de esfuerzo ahorrado por automatizaciones/aceleradores.</t>
  </si>
  <si>
    <t>Horas ahorradas / horas base</t>
  </si>
  <si>
    <t>Medición antes/después</t>
  </si>
  <si>
    <t>Definir por iniciativa</t>
  </si>
  <si>
    <t>Eficiencia</t>
  </si>
  <si>
    <t>Categoría</t>
  </si>
  <si>
    <t>Valor</t>
  </si>
  <si>
    <t>Baja</t>
  </si>
  <si>
    <t>Fuente</t>
  </si>
  <si>
    <t>Uso en documento</t>
  </si>
  <si>
    <t>URL / referencia</t>
  </si>
  <si>
    <t>Interna</t>
  </si>
  <si>
    <t>Alineación con lo pedido: servicio, capacidad, perfiles, herramientas, IA, reprocesos.</t>
  </si>
  <si>
    <t>Definición interna de empresa sobre gestión de calidad y desarrollo con proveedores.</t>
  </si>
  <si>
    <t>Estándar</t>
  </si>
  <si>
    <t>NIST SSDF SP 800-218</t>
  </si>
  <si>
    <t>Desarrollo seguro, trazabilidad, prácticas SDLC y gestión de vulnerabilidades.</t>
  </si>
  <si>
    <t>https://csrc.nist.gov/pubs/sp/800/218/final</t>
  </si>
  <si>
    <t>Guía</t>
  </si>
  <si>
    <t>DORA metrics</t>
  </si>
  <si>
    <t>Métricas de flujo, despliegue, estabilidad y recuperación.</t>
  </si>
  <si>
    <t>https://dora.dev/guides/dora-metrics/</t>
  </si>
  <si>
    <t>Marco</t>
  </si>
  <si>
    <t>OWASP SAMM</t>
  </si>
  <si>
    <t>Madurez de seguridad de software y controles organizacionales.</t>
  </si>
  <si>
    <t>https://owasp.org/www-project-samm/</t>
  </si>
  <si>
    <t>OWASP SAMM Model</t>
  </si>
  <si>
    <t>Soporte de ciclo de vida completo, desarrollo y adquisición.</t>
  </si>
  <si>
    <t>https://owaspsamm.org/model/</t>
  </si>
  <si>
    <t>Inventario de componentes y transparencia de cadena de suministro.</t>
  </si>
  <si>
    <t>https://www.cisa.gov/topics/information-communications-technology-supply-chain-security/sbom</t>
  </si>
  <si>
    <t>CISA SBOM Minimum Elements 2025</t>
  </si>
  <si>
    <t>Elementos mínimos para SBOM y gestión de componentes.</t>
  </si>
  <si>
    <t>https://www.cisa.gov/resources-tools/resources/2025-minimum-elements-software-bill-materials-sbom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</si>
</sst>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Carlito"/>
    </font>
    <font>
      <b/>
      <sz val="11"/>
      <color rgb="FFFFFFFF"/>
      <name val="Carlito"/>
    </font>
    <font>
      <b/>
      <sz val="11"/>
      <color rgb="FF000000"/>
      <name val="Carlito"/>
    </font>
    <font>
      <sz val="11"/>
      <color rgb="FF000000"/>
      <name val="Carlito"/>
    </font>
  </fonts>
  <fills count="6">
    <fill>
      <patternFill patternType="none"/>
    </fill>
    <fill>
      <patternFill patternType="gray125"/>
    </fill>
    <fill>
      <patternFill patternType="solid">
        <fgColor rgb="FF1F4E78"/>
      </patternFill>
    </fill>
    <fill>
      <patternFill patternType="solid">
        <fgColor rgb="FFC00000"/>
      </patternFill>
    </fill>
    <fill>
      <patternFill patternType="solid">
        <fgColor rgb="FFD9EAF7"/>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3" fillId="4" borderId="0" xfId="0" applyFont="1" applyFill="1" applyAlignment="1">
      <alignment horizontal="center" vertical="top" wrapText="1"/>
    </xf>
    <xf numFmtId="0" fontId="4" fillId="5" borderId="0" xfId="0" applyFont="1" applyFill="1" applyAlignment="1">
      <alignment vertical="top" wrapText="1"/>
    </xf>
    <xf numFmtId="1" fontId="0" fillId="0" borderId="0" xfId="0" applyNumberFormat="1" applyAlignment="1">
      <alignment vertical="top" wrapText="1"/>
    </xf>
    <xf numFmtId="2" fontId="0" fillId="0" borderId="0" xfId="0" applyNumberFormat="1" applyAlignment="1">
      <alignment vertical="top" wrapText="1"/>
    </xf>
    <xf numFmtId="0" fontId="1" fillId="2" borderId="0" xfId="0" applyFont="1" applyFill="1" applyAlignment="1">
      <alignment horizontal="center" vertical="top" wrapText="1"/>
    </xf>
    <xf numFmtId="0" fontId="2" fillId="3" borderId="0" xfId="0" applyFont="1" applyFill="1" applyAlignment="1">
      <alignment horizontal="center" vertical="top" wrapText="1"/>
    </xf>
    <xf numFmtId="0" fontId="0" fillId="0" borderId="0" xfId="0" applyAlignment="1">
      <alignment vertical="top" wrapText="1"/>
    </xf>
    <xf numFmtId="0" fontId="4" fillId="5" borderId="0" xfId="0" applyFont="1" applyFill="1" applyAlignment="1">
      <alignment vertical="top" wrapText="1"/>
    </xf>
    <xf numFmtId="2" fontId="2" fillId="3" borderId="0" xfId="0" applyNumberFormat="1" applyFont="1" applyFill="1" applyAlignment="1">
      <alignment horizontal="center" vertical="top" wrapText="1"/>
    </xf>
  </cellXfs>
  <cellStyles count="1">
    <cellStyle name="Normal" xfId="0" builtinId="0"/>
  </cellStyles>
  <dxfs count="3">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Requerimientos" displayName="MatrizRequerimientos" ref="A1:K64">
  <tableColumns count="11">
    <tableColumn id="1" xr3:uid="{00000000-0010-0000-0000-000001000000}" name="ID"/>
    <tableColumn id="2" xr3:uid="{00000000-0010-0000-0000-000002000000}" name="Dominio"/>
    <tableColumn id="3" xr3:uid="{00000000-0010-0000-0000-000003000000}" name="Subdominio"/>
    <tableColumn id="4" xr3:uid="{00000000-0010-0000-0000-000004000000}" name="Requerimiento"/>
    <tableColumn id="5" xr3:uid="{00000000-0010-0000-0000-000005000000}" name="Descripción / alcance"/>
    <tableColumn id="6" xr3:uid="{00000000-0010-0000-0000-000006000000}" name="Evidencia esperada del proveedor"/>
    <tableColumn id="7" xr3:uid="{00000000-0010-0000-0000-000007000000}" name="Indicador asociado"/>
    <tableColumn id="8" xr3:uid="{00000000-0010-0000-0000-000008000000}" name="Criterio mínimo de aceptación"/>
    <tableColumn id="9" xr3:uid="{00000000-0010-0000-0000-000009000000}" name="Prioridad"/>
    <tableColumn id="10" xr3:uid="{00000000-0010-0000-0000-00000A000000}" name="Tipo"/>
    <tableColumn id="11" xr3:uid="{00000000-0010-0000-0000-00000B000000}" name="Fuente / referenci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EvaluacionProveedorTable" displayName="EvaluacionProveedorTable" ref="A4:O67">
  <tableColumns count="15">
    <tableColumn id="1" xr3:uid="{00000000-0010-0000-0100-000001000000}" name="ID"/>
    <tableColumn id="2" xr3:uid="{00000000-0010-0000-0100-000002000000}" name="Dominio"/>
    <tableColumn id="3" xr3:uid="{00000000-0010-0000-0100-000003000000}" name="Subdominio"/>
    <tableColumn id="4" xr3:uid="{00000000-0010-0000-0100-000004000000}" name="Requerimiento"/>
    <tableColumn id="5" xr3:uid="{00000000-0010-0000-0100-000005000000}" name="Evidencia esperada"/>
    <tableColumn id="6" xr3:uid="{00000000-0010-0000-0100-000006000000}" name="Criterio mínimo"/>
    <tableColumn id="7" xr3:uid="{00000000-0010-0000-0100-000007000000}" name="Prioridad"/>
    <tableColumn id="8" xr3:uid="{00000000-0010-0000-0100-000008000000}" name="Cumple/No cumple"/>
    <tableColumn id="9" xr3:uid="{00000000-0010-0000-0100-000009000000}" name="Cómo lo cumple"/>
    <tableColumn id="10" xr3:uid="{00000000-0010-0000-0100-00000A000000}" name="Evidencia adjunta"/>
    <tableColumn id="11" xr3:uid="{00000000-0010-0000-0100-00000B000000}" name="Observaciones"/>
    <tableColumn id="12" xr3:uid="{00000000-0010-0000-0100-00000C000000}" name="Peso"/>
    <tableColumn id="13" xr3:uid="{00000000-0010-0000-0100-00000D000000}" name="Puntaje"/>
    <tableColumn id="14" xr3:uid="{00000000-0010-0000-0100-00000E000000}" name="Puntaje ponderado"/>
    <tableColumn id="15" xr3:uid="{00000000-0010-0000-0100-00000F000000}" name="Decisió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IndicadoresTable" displayName="IndicadoresTable" ref="A1:I19">
  <tableColumns count="9">
    <tableColumn id="1" xr3:uid="{00000000-0010-0000-0200-000001000000}" name="ID"/>
    <tableColumn id="2" xr3:uid="{00000000-0010-0000-0200-000002000000}" name="Dominio"/>
    <tableColumn id="3" xr3:uid="{00000000-0010-0000-0200-000003000000}" name="Indicador"/>
    <tableColumn id="4" xr3:uid="{00000000-0010-0000-0200-000004000000}" name="Definición"/>
    <tableColumn id="5" xr3:uid="{00000000-0010-0000-0200-000005000000}" name="Fórmula sugerida"/>
    <tableColumn id="6" xr3:uid="{00000000-0010-0000-0200-000006000000}" name="Fuente de datos"/>
    <tableColumn id="7" xr3:uid="{00000000-0010-0000-0200-000007000000}" name="Frecuencia"/>
    <tableColumn id="8" xr3:uid="{00000000-0010-0000-0200-000008000000}" name="Meta sugerida"/>
    <tableColumn id="9" xr3:uid="{00000000-0010-0000-0200-000009000000}" name="Uso en evaluac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selection activeCell="A2" sqref="A2"/>
    </sheetView>
  </sheetViews>
  <sheetFormatPr baseColWidth="10" defaultColWidth="9" defaultRowHeight="14.25"/>
  <cols>
    <col min="1" max="1" width="22" customWidth="1"/>
    <col min="2" max="2" width="38" customWidth="1"/>
    <col min="3" max="3" width="40" customWidth="1"/>
    <col min="4" max="4" width="28" customWidth="1"/>
    <col min="5" max="5" width="16" customWidth="1"/>
    <col min="6" max="8" width="12" customWidth="1"/>
  </cols>
  <sheetData>
    <row r="1" spans="1:8" ht="18">
      <c r="A1" s="6" t="s">
        <v>0</v>
      </c>
      <c r="B1" s="6"/>
      <c r="C1" s="6"/>
      <c r="D1" s="6"/>
      <c r="E1" s="6"/>
      <c r="F1" s="6"/>
      <c r="G1" s="6"/>
      <c r="H1" s="6"/>
    </row>
    <row r="2" spans="1:8">
      <c r="A2" s="1"/>
      <c r="B2" s="1"/>
      <c r="C2" s="1"/>
      <c r="D2" s="1"/>
      <c r="E2" s="1"/>
      <c r="F2" s="1"/>
      <c r="G2" s="1"/>
      <c r="H2" s="1"/>
    </row>
    <row r="3" spans="1:8">
      <c r="A3" s="1"/>
      <c r="B3" s="1"/>
      <c r="C3" s="1"/>
      <c r="D3" s="1"/>
      <c r="E3" s="1"/>
      <c r="F3" s="1"/>
      <c r="G3" s="1"/>
      <c r="H3" s="1"/>
    </row>
    <row r="4" spans="1:8" ht="15">
      <c r="A4" s="7" t="s">
        <v>1</v>
      </c>
      <c r="B4" s="7"/>
      <c r="C4" s="7"/>
      <c r="D4" s="7"/>
      <c r="E4" s="7"/>
      <c r="F4" s="7"/>
      <c r="G4" s="7"/>
      <c r="H4" s="7"/>
    </row>
    <row r="5" spans="1:8">
      <c r="A5" s="8" t="s">
        <v>2</v>
      </c>
      <c r="B5" s="8"/>
      <c r="C5" s="8"/>
      <c r="D5" s="8"/>
      <c r="E5" s="8"/>
      <c r="F5" s="8"/>
      <c r="G5" s="8"/>
      <c r="H5" s="8"/>
    </row>
    <row r="6" spans="1:8">
      <c r="A6" s="8"/>
      <c r="B6" s="8"/>
      <c r="C6" s="8"/>
      <c r="D6" s="8"/>
      <c r="E6" s="8"/>
      <c r="F6" s="8"/>
      <c r="G6" s="8"/>
      <c r="H6" s="8"/>
    </row>
    <row r="7" spans="1:8">
      <c r="A7" s="1"/>
      <c r="B7" s="1"/>
      <c r="C7" s="1"/>
      <c r="D7" s="1"/>
      <c r="E7" s="1"/>
      <c r="F7" s="1"/>
      <c r="G7" s="1"/>
      <c r="H7" s="1"/>
    </row>
    <row r="8" spans="1:8" ht="30">
      <c r="A8" s="2" t="s">
        <v>3</v>
      </c>
      <c r="B8" s="2" t="s">
        <v>4</v>
      </c>
      <c r="C8" s="2" t="s">
        <v>5</v>
      </c>
      <c r="D8" s="2" t="s">
        <v>6</v>
      </c>
      <c r="E8" s="2" t="s">
        <v>7</v>
      </c>
      <c r="F8" s="1"/>
      <c r="G8" s="1"/>
      <c r="H8" s="1"/>
    </row>
    <row r="9" spans="1:8" ht="28.5">
      <c r="A9" s="1" t="s">
        <v>8</v>
      </c>
      <c r="B9" s="1" t="s">
        <v>9</v>
      </c>
      <c r="C9" s="1" t="s">
        <v>10</v>
      </c>
      <c r="D9" s="1" t="s">
        <v>11</v>
      </c>
      <c r="E9" s="1" t="s">
        <v>12</v>
      </c>
      <c r="F9" s="1"/>
      <c r="G9" s="1"/>
      <c r="H9" s="1"/>
    </row>
    <row r="10" spans="1:8" ht="42.75">
      <c r="A10" s="1" t="s">
        <v>13</v>
      </c>
      <c r="B10" s="1" t="s">
        <v>14</v>
      </c>
      <c r="C10" s="1" t="s">
        <v>15</v>
      </c>
      <c r="D10" s="1" t="s">
        <v>16</v>
      </c>
      <c r="E10" s="1" t="s">
        <v>12</v>
      </c>
      <c r="F10" s="1"/>
      <c r="G10" s="1"/>
      <c r="H10" s="1"/>
    </row>
    <row r="11" spans="1:8" ht="42.75">
      <c r="A11" s="1" t="s">
        <v>17</v>
      </c>
      <c r="B11" s="1" t="s">
        <v>18</v>
      </c>
      <c r="C11" s="1" t="s">
        <v>19</v>
      </c>
      <c r="D11" s="1" t="s">
        <v>16</v>
      </c>
      <c r="E11" s="1" t="s">
        <v>12</v>
      </c>
      <c r="F11" s="1"/>
      <c r="G11" s="1"/>
      <c r="H11" s="1"/>
    </row>
    <row r="12" spans="1:8" ht="42.75">
      <c r="A12" s="1" t="s">
        <v>20</v>
      </c>
      <c r="B12" s="1" t="s">
        <v>21</v>
      </c>
      <c r="C12" s="1" t="s">
        <v>22</v>
      </c>
      <c r="D12" s="1" t="s">
        <v>23</v>
      </c>
      <c r="E12" s="1" t="s">
        <v>12</v>
      </c>
      <c r="F12" s="1"/>
      <c r="G12" s="1"/>
      <c r="H12" s="1"/>
    </row>
    <row r="13" spans="1:8" ht="42.75">
      <c r="A13" s="1" t="s">
        <v>24</v>
      </c>
      <c r="B13" s="1" t="s">
        <v>25</v>
      </c>
      <c r="C13" s="1" t="s">
        <v>26</v>
      </c>
      <c r="D13" s="1" t="s">
        <v>27</v>
      </c>
      <c r="E13" s="1" t="s">
        <v>12</v>
      </c>
      <c r="F13" s="1"/>
      <c r="G13" s="1"/>
      <c r="H13" s="1"/>
    </row>
    <row r="14" spans="1:8" ht="28.5">
      <c r="A14" s="1" t="s">
        <v>28</v>
      </c>
      <c r="B14" s="1" t="s">
        <v>29</v>
      </c>
      <c r="C14" s="1" t="s">
        <v>30</v>
      </c>
      <c r="D14" s="1" t="s">
        <v>11</v>
      </c>
      <c r="E14" s="1" t="s">
        <v>12</v>
      </c>
      <c r="F14" s="1"/>
      <c r="G14" s="1"/>
      <c r="H14" s="1"/>
    </row>
    <row r="15" spans="1:8" ht="28.5">
      <c r="A15" s="1" t="s">
        <v>31</v>
      </c>
      <c r="B15" s="1" t="s">
        <v>32</v>
      </c>
      <c r="C15" s="1" t="s">
        <v>33</v>
      </c>
      <c r="D15" s="1" t="s">
        <v>16</v>
      </c>
      <c r="E15" s="1" t="s">
        <v>12</v>
      </c>
      <c r="F15" s="1"/>
      <c r="G15" s="1"/>
      <c r="H15" s="1"/>
    </row>
    <row r="16" spans="1:8" ht="28.5">
      <c r="A16" s="1" t="s">
        <v>34</v>
      </c>
      <c r="B16" s="1" t="s">
        <v>35</v>
      </c>
      <c r="C16" s="1" t="s">
        <v>36</v>
      </c>
      <c r="D16" s="1" t="s">
        <v>37</v>
      </c>
      <c r="E16" s="1" t="s">
        <v>12</v>
      </c>
      <c r="F16" s="1"/>
      <c r="G16" s="1"/>
      <c r="H16" s="1"/>
    </row>
    <row r="17" spans="1:8">
      <c r="A17" s="1"/>
      <c r="B17" s="1"/>
      <c r="C17" s="1"/>
      <c r="D17" s="1"/>
      <c r="E17" s="1"/>
      <c r="F17" s="1"/>
      <c r="G17" s="1"/>
      <c r="H17" s="1"/>
    </row>
    <row r="18" spans="1:8">
      <c r="A18" s="1"/>
      <c r="B18" s="1"/>
      <c r="C18" s="1"/>
      <c r="D18" s="1"/>
      <c r="E18" s="1"/>
      <c r="F18" s="1"/>
      <c r="G18" s="1"/>
      <c r="H18" s="1"/>
    </row>
    <row r="19" spans="1:8" ht="15">
      <c r="A19" s="7" t="s">
        <v>38</v>
      </c>
      <c r="B19" s="7"/>
      <c r="C19" s="7"/>
      <c r="D19" s="7"/>
      <c r="E19" s="7"/>
      <c r="F19" s="7"/>
      <c r="G19" s="7"/>
      <c r="H19" s="7"/>
    </row>
    <row r="20" spans="1:8" ht="42.75">
      <c r="A20" s="1" t="s">
        <v>39</v>
      </c>
      <c r="B20" s="1" t="s">
        <v>40</v>
      </c>
      <c r="C20" s="1"/>
      <c r="D20" s="1"/>
      <c r="E20" s="1"/>
      <c r="F20" s="1"/>
      <c r="G20" s="1"/>
      <c r="H20" s="1"/>
    </row>
    <row r="21" spans="1:8" ht="42.75">
      <c r="A21" s="1" t="s">
        <v>41</v>
      </c>
      <c r="B21" s="1" t="s">
        <v>42</v>
      </c>
      <c r="C21" s="1"/>
      <c r="D21" s="1"/>
      <c r="E21" s="1"/>
      <c r="F21" s="1"/>
      <c r="G21" s="1"/>
      <c r="H21" s="1"/>
    </row>
    <row r="22" spans="1:8" ht="28.5">
      <c r="A22" s="1" t="s">
        <v>43</v>
      </c>
      <c r="B22" s="1" t="s">
        <v>44</v>
      </c>
      <c r="C22" s="1"/>
      <c r="D22" s="1"/>
      <c r="E22" s="1"/>
      <c r="F22" s="1"/>
      <c r="G22" s="1"/>
      <c r="H22" s="1"/>
    </row>
    <row r="23" spans="1:8" ht="42.75">
      <c r="A23" s="1" t="s">
        <v>45</v>
      </c>
      <c r="B23" s="1" t="s">
        <v>46</v>
      </c>
      <c r="C23" s="1"/>
      <c r="D23" s="1"/>
      <c r="E23" s="1"/>
      <c r="F23" s="1"/>
      <c r="G23" s="1"/>
      <c r="H23" s="1"/>
    </row>
    <row r="24" spans="1:8">
      <c r="A24" s="1"/>
      <c r="B24" s="1"/>
      <c r="C24" s="1"/>
      <c r="D24" s="1"/>
      <c r="E24" s="1"/>
      <c r="F24" s="1"/>
      <c r="G24" s="1"/>
      <c r="H24" s="1"/>
    </row>
    <row r="25" spans="1:8">
      <c r="A25" s="9" t="s">
        <v>47</v>
      </c>
      <c r="B25" s="9"/>
      <c r="C25" s="9"/>
      <c r="D25" s="9"/>
      <c r="E25" s="9"/>
      <c r="F25" s="9"/>
      <c r="G25" s="9"/>
      <c r="H25" s="9"/>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sheetData>
  <mergeCells count="5">
    <mergeCell ref="A1:H1"/>
    <mergeCell ref="A4:H4"/>
    <mergeCell ref="A5:H6"/>
    <mergeCell ref="A19:H19"/>
    <mergeCell ref="A25:H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4"/>
  <sheetViews>
    <sheetView topLeftCell="A42" workbookViewId="0">
      <selection activeCell="H7" sqref="H7"/>
    </sheetView>
  </sheetViews>
  <sheetFormatPr baseColWidth="10" defaultColWidth="9" defaultRowHeight="14.25"/>
  <cols>
    <col min="1" max="1" width="10" customWidth="1"/>
    <col min="2" max="2" width="25" customWidth="1"/>
    <col min="3" max="3" width="20" customWidth="1"/>
    <col min="4" max="4" width="38" customWidth="1"/>
    <col min="5" max="5" width="48" customWidth="1"/>
    <col min="6" max="6" width="42" customWidth="1"/>
    <col min="7" max="7" width="28" customWidth="1"/>
    <col min="8" max="8" width="45" customWidth="1"/>
    <col min="9" max="9" width="12" customWidth="1"/>
    <col min="10" max="10" width="14" customWidth="1"/>
    <col min="11" max="11" width="28" customWidth="1"/>
  </cols>
  <sheetData>
    <row r="1" spans="1:11" ht="15">
      <c r="A1" s="2" t="s">
        <v>48</v>
      </c>
      <c r="B1" s="2" t="s">
        <v>49</v>
      </c>
      <c r="C1" s="2" t="s">
        <v>50</v>
      </c>
      <c r="D1" s="2" t="s">
        <v>51</v>
      </c>
      <c r="E1" s="2" t="s">
        <v>52</v>
      </c>
      <c r="F1" s="2" t="s">
        <v>53</v>
      </c>
      <c r="G1" s="2" t="s">
        <v>54</v>
      </c>
      <c r="H1" s="2" t="s">
        <v>55</v>
      </c>
      <c r="I1" s="2" t="s">
        <v>56</v>
      </c>
      <c r="J1" s="2" t="s">
        <v>57</v>
      </c>
      <c r="K1" s="2" t="s">
        <v>58</v>
      </c>
    </row>
    <row r="2" spans="1:11" ht="42.75">
      <c r="A2" s="1" t="s">
        <v>59</v>
      </c>
      <c r="B2" s="1" t="s">
        <v>60</v>
      </c>
      <c r="C2" s="1" t="s">
        <v>61</v>
      </c>
      <c r="D2" s="1" t="s">
        <v>62</v>
      </c>
      <c r="E2" s="1" t="s">
        <v>63</v>
      </c>
      <c r="F2" s="1" t="s">
        <v>64</v>
      </c>
      <c r="G2" s="1" t="s">
        <v>65</v>
      </c>
      <c r="H2" s="1" t="s">
        <v>66</v>
      </c>
      <c r="I2" s="1" t="s">
        <v>67</v>
      </c>
      <c r="J2" s="1" t="s">
        <v>68</v>
      </c>
      <c r="K2" s="1" t="s">
        <v>69</v>
      </c>
    </row>
    <row r="3" spans="1:11" ht="42.75">
      <c r="A3" s="1" t="s">
        <v>70</v>
      </c>
      <c r="B3" s="1" t="s">
        <v>60</v>
      </c>
      <c r="C3" s="1" t="s">
        <v>61</v>
      </c>
      <c r="D3" s="1" t="s">
        <v>71</v>
      </c>
      <c r="E3" s="1" t="s">
        <v>72</v>
      </c>
      <c r="F3" s="1" t="s">
        <v>73</v>
      </c>
      <c r="G3" s="1" t="s">
        <v>74</v>
      </c>
      <c r="H3" s="1" t="s">
        <v>75</v>
      </c>
      <c r="I3" s="1" t="s">
        <v>67</v>
      </c>
      <c r="J3" s="1" t="s">
        <v>68</v>
      </c>
      <c r="K3" s="1" t="s">
        <v>76</v>
      </c>
    </row>
    <row r="4" spans="1:11" ht="57">
      <c r="A4" s="1" t="s">
        <v>77</v>
      </c>
      <c r="B4" s="1" t="s">
        <v>60</v>
      </c>
      <c r="C4" s="1" t="s">
        <v>61</v>
      </c>
      <c r="D4" s="1" t="s">
        <v>78</v>
      </c>
      <c r="E4" s="1" t="s">
        <v>79</v>
      </c>
      <c r="F4" s="1" t="s">
        <v>80</v>
      </c>
      <c r="G4" s="1" t="s">
        <v>81</v>
      </c>
      <c r="H4" s="1" t="s">
        <v>82</v>
      </c>
      <c r="I4" s="1" t="s">
        <v>67</v>
      </c>
      <c r="J4" s="1" t="s">
        <v>68</v>
      </c>
      <c r="K4" s="1" t="s">
        <v>83</v>
      </c>
    </row>
    <row r="5" spans="1:11" ht="42.75">
      <c r="A5" s="1" t="s">
        <v>84</v>
      </c>
      <c r="B5" s="1" t="s">
        <v>60</v>
      </c>
      <c r="C5" s="1" t="s">
        <v>61</v>
      </c>
      <c r="D5" s="1" t="s">
        <v>85</v>
      </c>
      <c r="E5" s="1" t="s">
        <v>86</v>
      </c>
      <c r="F5" s="1" t="s">
        <v>87</v>
      </c>
      <c r="G5" s="1" t="s">
        <v>88</v>
      </c>
      <c r="H5" s="1" t="s">
        <v>89</v>
      </c>
      <c r="I5" s="1" t="s">
        <v>67</v>
      </c>
      <c r="J5" s="1" t="s">
        <v>68</v>
      </c>
      <c r="K5" s="1" t="s">
        <v>90</v>
      </c>
    </row>
    <row r="6" spans="1:11" ht="42.75">
      <c r="A6" s="1" t="s">
        <v>91</v>
      </c>
      <c r="B6" s="1" t="s">
        <v>60</v>
      </c>
      <c r="C6" s="1" t="s">
        <v>61</v>
      </c>
      <c r="D6" s="1" t="s">
        <v>92</v>
      </c>
      <c r="E6" s="1" t="s">
        <v>93</v>
      </c>
      <c r="F6" s="1" t="s">
        <v>94</v>
      </c>
      <c r="G6" s="1" t="s">
        <v>95</v>
      </c>
      <c r="H6" s="1" t="s">
        <v>96</v>
      </c>
      <c r="I6" s="1" t="s">
        <v>97</v>
      </c>
      <c r="J6" s="1" t="s">
        <v>68</v>
      </c>
      <c r="K6" s="1" t="s">
        <v>83</v>
      </c>
    </row>
    <row r="7" spans="1:11" ht="28.5">
      <c r="A7" s="1" t="s">
        <v>98</v>
      </c>
      <c r="B7" s="1" t="s">
        <v>60</v>
      </c>
      <c r="C7" s="1" t="s">
        <v>61</v>
      </c>
      <c r="D7" s="1" t="s">
        <v>99</v>
      </c>
      <c r="E7" s="1" t="s">
        <v>100</v>
      </c>
      <c r="F7" s="1" t="s">
        <v>101</v>
      </c>
      <c r="G7" s="1" t="s">
        <v>102</v>
      </c>
      <c r="H7" s="1" t="s">
        <v>103</v>
      </c>
      <c r="I7" s="1" t="s">
        <v>97</v>
      </c>
      <c r="J7" s="1" t="s">
        <v>104</v>
      </c>
      <c r="K7" s="1" t="s">
        <v>83</v>
      </c>
    </row>
    <row r="8" spans="1:11" ht="42.75">
      <c r="A8" s="1" t="s">
        <v>105</v>
      </c>
      <c r="B8" s="1" t="s">
        <v>106</v>
      </c>
      <c r="C8" s="1" t="s">
        <v>107</v>
      </c>
      <c r="D8" s="1" t="s">
        <v>108</v>
      </c>
      <c r="E8" s="1" t="s">
        <v>109</v>
      </c>
      <c r="F8" s="1" t="s">
        <v>110</v>
      </c>
      <c r="G8" s="1" t="s">
        <v>111</v>
      </c>
      <c r="H8" s="1" t="s">
        <v>112</v>
      </c>
      <c r="I8" s="1" t="s">
        <v>67</v>
      </c>
      <c r="J8" s="1" t="s">
        <v>68</v>
      </c>
      <c r="K8" s="1" t="s">
        <v>113</v>
      </c>
    </row>
    <row r="9" spans="1:11" ht="28.5">
      <c r="A9" s="1" t="s">
        <v>114</v>
      </c>
      <c r="B9" s="1" t="s">
        <v>106</v>
      </c>
      <c r="C9" s="1" t="s">
        <v>107</v>
      </c>
      <c r="D9" s="1" t="s">
        <v>115</v>
      </c>
      <c r="E9" s="1" t="s">
        <v>116</v>
      </c>
      <c r="F9" s="1" t="s">
        <v>117</v>
      </c>
      <c r="G9" s="1" t="s">
        <v>118</v>
      </c>
      <c r="H9" s="1" t="s">
        <v>119</v>
      </c>
      <c r="I9" s="1" t="s">
        <v>67</v>
      </c>
      <c r="J9" s="1" t="s">
        <v>68</v>
      </c>
      <c r="K9" s="1" t="s">
        <v>83</v>
      </c>
    </row>
    <row r="10" spans="1:11" ht="42.75">
      <c r="A10" s="1" t="s">
        <v>120</v>
      </c>
      <c r="B10" s="1" t="s">
        <v>106</v>
      </c>
      <c r="C10" s="1" t="s">
        <v>107</v>
      </c>
      <c r="D10" s="1" t="s">
        <v>121</v>
      </c>
      <c r="E10" s="1" t="s">
        <v>122</v>
      </c>
      <c r="F10" s="1" t="s">
        <v>123</v>
      </c>
      <c r="G10" s="1" t="s">
        <v>124</v>
      </c>
      <c r="H10" s="1" t="s">
        <v>125</v>
      </c>
      <c r="I10" s="1" t="s">
        <v>67</v>
      </c>
      <c r="J10" s="1" t="s">
        <v>68</v>
      </c>
      <c r="K10" s="1" t="s">
        <v>126</v>
      </c>
    </row>
    <row r="11" spans="1:11" ht="28.5">
      <c r="A11" s="1" t="s">
        <v>127</v>
      </c>
      <c r="B11" s="1" t="s">
        <v>106</v>
      </c>
      <c r="C11" s="1" t="s">
        <v>107</v>
      </c>
      <c r="D11" s="1" t="s">
        <v>128</v>
      </c>
      <c r="E11" s="1" t="s">
        <v>129</v>
      </c>
      <c r="F11" s="1" t="s">
        <v>130</v>
      </c>
      <c r="G11" s="1" t="s">
        <v>131</v>
      </c>
      <c r="H11" s="1" t="s">
        <v>132</v>
      </c>
      <c r="I11" s="1" t="s">
        <v>67</v>
      </c>
      <c r="J11" s="1" t="s">
        <v>68</v>
      </c>
      <c r="K11" s="1" t="s">
        <v>83</v>
      </c>
    </row>
    <row r="12" spans="1:11" ht="28.5">
      <c r="A12" s="1" t="s">
        <v>133</v>
      </c>
      <c r="B12" s="1" t="s">
        <v>106</v>
      </c>
      <c r="C12" s="1" t="s">
        <v>107</v>
      </c>
      <c r="D12" s="1" t="s">
        <v>134</v>
      </c>
      <c r="E12" s="1" t="s">
        <v>135</v>
      </c>
      <c r="F12" s="1" t="s">
        <v>136</v>
      </c>
      <c r="G12" s="1" t="s">
        <v>137</v>
      </c>
      <c r="H12" s="1" t="s">
        <v>138</v>
      </c>
      <c r="I12" s="1" t="s">
        <v>97</v>
      </c>
      <c r="J12" s="1" t="s">
        <v>68</v>
      </c>
      <c r="K12" s="1" t="s">
        <v>139</v>
      </c>
    </row>
    <row r="13" spans="1:11" ht="42.75">
      <c r="A13" s="1" t="s">
        <v>140</v>
      </c>
      <c r="B13" s="1" t="s">
        <v>141</v>
      </c>
      <c r="C13" s="1" t="s">
        <v>142</v>
      </c>
      <c r="D13" s="1" t="s">
        <v>143</v>
      </c>
      <c r="E13" s="1" t="s">
        <v>144</v>
      </c>
      <c r="F13" s="1" t="s">
        <v>145</v>
      </c>
      <c r="G13" s="1" t="s">
        <v>146</v>
      </c>
      <c r="H13" s="1" t="s">
        <v>147</v>
      </c>
      <c r="I13" s="1" t="s">
        <v>67</v>
      </c>
      <c r="J13" s="1" t="s">
        <v>68</v>
      </c>
      <c r="K13" s="1" t="s">
        <v>148</v>
      </c>
    </row>
    <row r="14" spans="1:11" ht="28.5">
      <c r="A14" s="1" t="s">
        <v>149</v>
      </c>
      <c r="B14" s="1" t="s">
        <v>141</v>
      </c>
      <c r="C14" s="1" t="s">
        <v>142</v>
      </c>
      <c r="D14" s="1" t="s">
        <v>150</v>
      </c>
      <c r="E14" s="1" t="s">
        <v>151</v>
      </c>
      <c r="F14" s="1" t="s">
        <v>152</v>
      </c>
      <c r="G14" s="1" t="s">
        <v>153</v>
      </c>
      <c r="H14" s="1" t="s">
        <v>154</v>
      </c>
      <c r="I14" s="1" t="s">
        <v>97</v>
      </c>
      <c r="J14" s="1" t="s">
        <v>68</v>
      </c>
      <c r="K14" s="1" t="s">
        <v>155</v>
      </c>
    </row>
    <row r="15" spans="1:11" ht="28.5">
      <c r="A15" s="1" t="s">
        <v>156</v>
      </c>
      <c r="B15" s="1" t="s">
        <v>141</v>
      </c>
      <c r="C15" s="1" t="s">
        <v>142</v>
      </c>
      <c r="D15" s="1" t="s">
        <v>157</v>
      </c>
      <c r="E15" s="1" t="s">
        <v>158</v>
      </c>
      <c r="F15" s="1" t="s">
        <v>159</v>
      </c>
      <c r="G15" s="1" t="s">
        <v>160</v>
      </c>
      <c r="H15" s="1" t="s">
        <v>161</v>
      </c>
      <c r="I15" s="1" t="s">
        <v>97</v>
      </c>
      <c r="J15" s="1" t="s">
        <v>68</v>
      </c>
      <c r="K15" s="1" t="s">
        <v>162</v>
      </c>
    </row>
    <row r="16" spans="1:11" ht="42.75">
      <c r="A16" s="1" t="s">
        <v>163</v>
      </c>
      <c r="B16" s="1" t="s">
        <v>141</v>
      </c>
      <c r="C16" s="1" t="s">
        <v>142</v>
      </c>
      <c r="D16" s="1" t="s">
        <v>164</v>
      </c>
      <c r="E16" s="1" t="s">
        <v>165</v>
      </c>
      <c r="F16" s="1" t="s">
        <v>166</v>
      </c>
      <c r="G16" s="1" t="s">
        <v>167</v>
      </c>
      <c r="H16" s="1" t="s">
        <v>168</v>
      </c>
      <c r="I16" s="1" t="s">
        <v>67</v>
      </c>
      <c r="J16" s="1" t="s">
        <v>68</v>
      </c>
      <c r="K16" s="1" t="s">
        <v>169</v>
      </c>
    </row>
    <row r="17" spans="1:11" ht="28.5">
      <c r="A17" s="1" t="s">
        <v>170</v>
      </c>
      <c r="B17" s="1" t="s">
        <v>141</v>
      </c>
      <c r="C17" s="1" t="s">
        <v>142</v>
      </c>
      <c r="D17" s="1" t="s">
        <v>171</v>
      </c>
      <c r="E17" s="1" t="s">
        <v>172</v>
      </c>
      <c r="F17" s="1" t="s">
        <v>173</v>
      </c>
      <c r="G17" s="1" t="s">
        <v>174</v>
      </c>
      <c r="H17" s="1" t="s">
        <v>175</v>
      </c>
      <c r="I17" s="1" t="s">
        <v>67</v>
      </c>
      <c r="J17" s="1" t="s">
        <v>68</v>
      </c>
      <c r="K17" s="1" t="s">
        <v>176</v>
      </c>
    </row>
    <row r="18" spans="1:11" ht="28.5">
      <c r="A18" s="1" t="s">
        <v>177</v>
      </c>
      <c r="B18" s="1" t="s">
        <v>141</v>
      </c>
      <c r="C18" s="1" t="s">
        <v>142</v>
      </c>
      <c r="D18" s="1" t="s">
        <v>178</v>
      </c>
      <c r="E18" s="1" t="s">
        <v>179</v>
      </c>
      <c r="F18" s="1" t="s">
        <v>180</v>
      </c>
      <c r="G18" s="1" t="s">
        <v>181</v>
      </c>
      <c r="H18" s="1" t="s">
        <v>182</v>
      </c>
      <c r="I18" s="1" t="s">
        <v>97</v>
      </c>
      <c r="J18" s="1" t="s">
        <v>104</v>
      </c>
      <c r="K18" s="1" t="s">
        <v>183</v>
      </c>
    </row>
    <row r="19" spans="1:11" ht="42.75">
      <c r="A19" s="1" t="s">
        <v>184</v>
      </c>
      <c r="B19" s="1" t="s">
        <v>185</v>
      </c>
      <c r="C19" s="1" t="s">
        <v>186</v>
      </c>
      <c r="D19" s="1" t="s">
        <v>187</v>
      </c>
      <c r="E19" s="1" t="s">
        <v>188</v>
      </c>
      <c r="F19" s="1" t="s">
        <v>189</v>
      </c>
      <c r="G19" s="1" t="s">
        <v>190</v>
      </c>
      <c r="H19" s="1" t="s">
        <v>191</v>
      </c>
      <c r="I19" s="1" t="s">
        <v>67</v>
      </c>
      <c r="J19" s="1" t="s">
        <v>68</v>
      </c>
      <c r="K19" s="1" t="s">
        <v>192</v>
      </c>
    </row>
    <row r="20" spans="1:11" ht="42.75">
      <c r="A20" s="1" t="s">
        <v>193</v>
      </c>
      <c r="B20" s="1" t="s">
        <v>185</v>
      </c>
      <c r="C20" s="1" t="s">
        <v>186</v>
      </c>
      <c r="D20" s="1" t="s">
        <v>194</v>
      </c>
      <c r="E20" s="1" t="s">
        <v>195</v>
      </c>
      <c r="F20" s="1" t="s">
        <v>196</v>
      </c>
      <c r="G20" s="1" t="s">
        <v>197</v>
      </c>
      <c r="H20" s="1" t="s">
        <v>198</v>
      </c>
      <c r="I20" s="1" t="s">
        <v>67</v>
      </c>
      <c r="J20" s="1" t="s">
        <v>68</v>
      </c>
      <c r="K20" s="1" t="s">
        <v>199</v>
      </c>
    </row>
    <row r="21" spans="1:11" ht="42.75">
      <c r="A21" s="1" t="s">
        <v>200</v>
      </c>
      <c r="B21" s="1" t="s">
        <v>185</v>
      </c>
      <c r="C21" s="1" t="s">
        <v>186</v>
      </c>
      <c r="D21" s="1" t="s">
        <v>201</v>
      </c>
      <c r="E21" s="1" t="s">
        <v>202</v>
      </c>
      <c r="F21" s="1" t="s">
        <v>203</v>
      </c>
      <c r="G21" s="1" t="s">
        <v>204</v>
      </c>
      <c r="H21" s="1" t="s">
        <v>205</v>
      </c>
      <c r="I21" s="1" t="s">
        <v>97</v>
      </c>
      <c r="J21" s="1" t="s">
        <v>104</v>
      </c>
      <c r="K21" s="1" t="s">
        <v>199</v>
      </c>
    </row>
    <row r="22" spans="1:11" ht="42.75">
      <c r="A22" s="1" t="s">
        <v>206</v>
      </c>
      <c r="B22" s="1" t="s">
        <v>185</v>
      </c>
      <c r="C22" s="1" t="s">
        <v>186</v>
      </c>
      <c r="D22" s="1" t="s">
        <v>207</v>
      </c>
      <c r="E22" s="1" t="s">
        <v>208</v>
      </c>
      <c r="F22" s="1" t="s">
        <v>209</v>
      </c>
      <c r="G22" s="1" t="s">
        <v>210</v>
      </c>
      <c r="H22" s="1" t="s">
        <v>211</v>
      </c>
      <c r="I22" s="1" t="s">
        <v>67</v>
      </c>
      <c r="J22" s="1" t="s">
        <v>68</v>
      </c>
      <c r="K22" s="1" t="s">
        <v>212</v>
      </c>
    </row>
    <row r="23" spans="1:11" ht="42.75">
      <c r="A23" s="1" t="s">
        <v>213</v>
      </c>
      <c r="B23" s="1" t="s">
        <v>185</v>
      </c>
      <c r="C23" s="1" t="s">
        <v>186</v>
      </c>
      <c r="D23" s="1" t="s">
        <v>214</v>
      </c>
      <c r="E23" s="1" t="s">
        <v>215</v>
      </c>
      <c r="F23" s="1" t="s">
        <v>216</v>
      </c>
      <c r="G23" s="1" t="s">
        <v>217</v>
      </c>
      <c r="H23" s="1" t="s">
        <v>218</v>
      </c>
      <c r="I23" s="1" t="s">
        <v>67</v>
      </c>
      <c r="J23" s="1" t="s">
        <v>68</v>
      </c>
      <c r="K23" s="1" t="s">
        <v>219</v>
      </c>
    </row>
    <row r="24" spans="1:11" ht="42.75">
      <c r="A24" s="1" t="s">
        <v>220</v>
      </c>
      <c r="B24" s="1" t="s">
        <v>185</v>
      </c>
      <c r="C24" s="1" t="s">
        <v>186</v>
      </c>
      <c r="D24" s="1" t="s">
        <v>221</v>
      </c>
      <c r="E24" s="1" t="s">
        <v>222</v>
      </c>
      <c r="F24" s="1" t="s">
        <v>223</v>
      </c>
      <c r="G24" s="1" t="s">
        <v>224</v>
      </c>
      <c r="H24" s="1" t="s">
        <v>225</v>
      </c>
      <c r="I24" s="1" t="s">
        <v>97</v>
      </c>
      <c r="J24" s="1" t="s">
        <v>68</v>
      </c>
      <c r="K24" s="1" t="s">
        <v>226</v>
      </c>
    </row>
    <row r="25" spans="1:11" ht="42.75">
      <c r="A25" s="1" t="s">
        <v>227</v>
      </c>
      <c r="B25" s="1" t="s">
        <v>228</v>
      </c>
      <c r="C25" s="1" t="s">
        <v>229</v>
      </c>
      <c r="D25" s="1" t="s">
        <v>230</v>
      </c>
      <c r="E25" s="1" t="s">
        <v>231</v>
      </c>
      <c r="F25" s="1" t="s">
        <v>232</v>
      </c>
      <c r="G25" s="1" t="s">
        <v>233</v>
      </c>
      <c r="H25" s="1" t="s">
        <v>234</v>
      </c>
      <c r="I25" s="1" t="s">
        <v>67</v>
      </c>
      <c r="J25" s="1" t="s">
        <v>68</v>
      </c>
      <c r="K25" s="1" t="s">
        <v>235</v>
      </c>
    </row>
    <row r="26" spans="1:11" ht="28.5">
      <c r="A26" s="1" t="s">
        <v>236</v>
      </c>
      <c r="B26" s="1" t="s">
        <v>228</v>
      </c>
      <c r="C26" s="1" t="s">
        <v>229</v>
      </c>
      <c r="D26" s="1" t="s">
        <v>237</v>
      </c>
      <c r="E26" s="1" t="s">
        <v>238</v>
      </c>
      <c r="F26" s="1" t="s">
        <v>239</v>
      </c>
      <c r="G26" s="1" t="s">
        <v>240</v>
      </c>
      <c r="H26" s="1" t="s">
        <v>241</v>
      </c>
      <c r="I26" s="1" t="s">
        <v>67</v>
      </c>
      <c r="J26" s="1" t="s">
        <v>68</v>
      </c>
      <c r="K26" s="1" t="s">
        <v>226</v>
      </c>
    </row>
    <row r="27" spans="1:11" ht="42.75">
      <c r="A27" s="1" t="s">
        <v>242</v>
      </c>
      <c r="B27" s="1" t="s">
        <v>228</v>
      </c>
      <c r="C27" s="1" t="s">
        <v>229</v>
      </c>
      <c r="D27" s="1" t="s">
        <v>243</v>
      </c>
      <c r="E27" s="1" t="s">
        <v>244</v>
      </c>
      <c r="F27" s="1" t="s">
        <v>245</v>
      </c>
      <c r="G27" s="1" t="s">
        <v>246</v>
      </c>
      <c r="H27" s="1" t="s">
        <v>247</v>
      </c>
      <c r="I27" s="1" t="s">
        <v>67</v>
      </c>
      <c r="J27" s="1" t="s">
        <v>68</v>
      </c>
      <c r="K27" s="1" t="s">
        <v>248</v>
      </c>
    </row>
    <row r="28" spans="1:11" ht="28.5">
      <c r="A28" s="1" t="s">
        <v>249</v>
      </c>
      <c r="B28" s="1" t="s">
        <v>228</v>
      </c>
      <c r="C28" s="1" t="s">
        <v>229</v>
      </c>
      <c r="D28" s="1" t="s">
        <v>250</v>
      </c>
      <c r="E28" s="1" t="s">
        <v>251</v>
      </c>
      <c r="F28" s="1" t="s">
        <v>252</v>
      </c>
      <c r="G28" s="1" t="s">
        <v>253</v>
      </c>
      <c r="H28" s="1" t="s">
        <v>254</v>
      </c>
      <c r="I28" s="1" t="s">
        <v>67</v>
      </c>
      <c r="J28" s="1" t="s">
        <v>68</v>
      </c>
      <c r="K28" s="1" t="s">
        <v>255</v>
      </c>
    </row>
    <row r="29" spans="1:11" ht="28.5">
      <c r="A29" s="1" t="s">
        <v>256</v>
      </c>
      <c r="B29" s="1" t="s">
        <v>228</v>
      </c>
      <c r="C29" s="1" t="s">
        <v>229</v>
      </c>
      <c r="D29" s="1" t="s">
        <v>257</v>
      </c>
      <c r="E29" s="1" t="s">
        <v>258</v>
      </c>
      <c r="F29" s="1" t="s">
        <v>259</v>
      </c>
      <c r="G29" s="1" t="s">
        <v>260</v>
      </c>
      <c r="H29" s="1" t="s">
        <v>261</v>
      </c>
      <c r="I29" s="1" t="s">
        <v>97</v>
      </c>
      <c r="J29" s="1" t="s">
        <v>68</v>
      </c>
      <c r="K29" s="1" t="s">
        <v>262</v>
      </c>
    </row>
    <row r="30" spans="1:11" ht="42.75">
      <c r="A30" s="1" t="s">
        <v>263</v>
      </c>
      <c r="B30" s="1" t="s">
        <v>228</v>
      </c>
      <c r="C30" s="1" t="s">
        <v>229</v>
      </c>
      <c r="D30" s="1" t="s">
        <v>264</v>
      </c>
      <c r="E30" s="1" t="s">
        <v>265</v>
      </c>
      <c r="F30" s="1" t="s">
        <v>266</v>
      </c>
      <c r="G30" s="1" t="s">
        <v>267</v>
      </c>
      <c r="H30" s="1" t="s">
        <v>268</v>
      </c>
      <c r="I30" s="1" t="s">
        <v>67</v>
      </c>
      <c r="J30" s="1" t="s">
        <v>68</v>
      </c>
      <c r="K30" s="1" t="s">
        <v>269</v>
      </c>
    </row>
    <row r="31" spans="1:11" ht="28.5">
      <c r="A31" s="1" t="s">
        <v>270</v>
      </c>
      <c r="B31" s="1" t="s">
        <v>271</v>
      </c>
      <c r="C31" s="1" t="s">
        <v>272</v>
      </c>
      <c r="D31" s="1" t="s">
        <v>273</v>
      </c>
      <c r="E31" s="1" t="s">
        <v>274</v>
      </c>
      <c r="F31" s="1" t="s">
        <v>275</v>
      </c>
      <c r="G31" s="1" t="s">
        <v>276</v>
      </c>
      <c r="H31" s="1" t="s">
        <v>277</v>
      </c>
      <c r="I31" s="1" t="s">
        <v>67</v>
      </c>
      <c r="J31" s="1" t="s">
        <v>68</v>
      </c>
      <c r="K31" s="1" t="s">
        <v>278</v>
      </c>
    </row>
    <row r="32" spans="1:11" ht="28.5">
      <c r="A32" s="1" t="s">
        <v>279</v>
      </c>
      <c r="B32" s="1" t="s">
        <v>271</v>
      </c>
      <c r="C32" s="1" t="s">
        <v>272</v>
      </c>
      <c r="D32" s="1" t="s">
        <v>280</v>
      </c>
      <c r="E32" s="1" t="s">
        <v>281</v>
      </c>
      <c r="F32" s="1" t="s">
        <v>282</v>
      </c>
      <c r="G32" s="1" t="s">
        <v>283</v>
      </c>
      <c r="H32" s="1" t="s">
        <v>284</v>
      </c>
      <c r="I32" s="1" t="s">
        <v>67</v>
      </c>
      <c r="J32" s="1" t="s">
        <v>68</v>
      </c>
      <c r="K32" s="1" t="s">
        <v>285</v>
      </c>
    </row>
    <row r="33" spans="1:11" ht="28.5">
      <c r="A33" s="1" t="s">
        <v>286</v>
      </c>
      <c r="B33" s="1" t="s">
        <v>271</v>
      </c>
      <c r="C33" s="1" t="s">
        <v>272</v>
      </c>
      <c r="D33" s="1" t="s">
        <v>287</v>
      </c>
      <c r="E33" s="1" t="s">
        <v>288</v>
      </c>
      <c r="F33" s="1" t="s">
        <v>289</v>
      </c>
      <c r="G33" s="1" t="s">
        <v>290</v>
      </c>
      <c r="H33" s="1" t="s">
        <v>291</v>
      </c>
      <c r="I33" s="1" t="s">
        <v>67</v>
      </c>
      <c r="J33" s="1" t="s">
        <v>68</v>
      </c>
      <c r="K33" s="1" t="s">
        <v>292</v>
      </c>
    </row>
    <row r="34" spans="1:11" ht="42.75">
      <c r="A34" s="1" t="s">
        <v>293</v>
      </c>
      <c r="B34" s="1" t="s">
        <v>271</v>
      </c>
      <c r="C34" s="1" t="s">
        <v>294</v>
      </c>
      <c r="D34" s="1" t="s">
        <v>295</v>
      </c>
      <c r="E34" s="1" t="s">
        <v>296</v>
      </c>
      <c r="F34" s="1" t="s">
        <v>297</v>
      </c>
      <c r="G34" s="1" t="s">
        <v>298</v>
      </c>
      <c r="H34" s="1" t="s">
        <v>299</v>
      </c>
      <c r="I34" s="1" t="s">
        <v>67</v>
      </c>
      <c r="J34" s="1" t="s">
        <v>68</v>
      </c>
      <c r="K34" s="1" t="s">
        <v>269</v>
      </c>
    </row>
    <row r="35" spans="1:11" ht="42.75">
      <c r="A35" s="1" t="s">
        <v>300</v>
      </c>
      <c r="B35" s="1" t="s">
        <v>271</v>
      </c>
      <c r="C35" s="1" t="s">
        <v>294</v>
      </c>
      <c r="D35" s="1" t="s">
        <v>301</v>
      </c>
      <c r="E35" s="1" t="s">
        <v>302</v>
      </c>
      <c r="F35" s="1" t="s">
        <v>303</v>
      </c>
      <c r="G35" s="1" t="s">
        <v>304</v>
      </c>
      <c r="H35" s="1" t="s">
        <v>305</v>
      </c>
      <c r="I35" s="1" t="s">
        <v>97</v>
      </c>
      <c r="J35" s="1" t="s">
        <v>104</v>
      </c>
      <c r="K35" s="1" t="s">
        <v>306</v>
      </c>
    </row>
    <row r="36" spans="1:11" ht="42.75">
      <c r="A36" s="1" t="s">
        <v>307</v>
      </c>
      <c r="B36" s="1" t="s">
        <v>271</v>
      </c>
      <c r="C36" s="1" t="s">
        <v>272</v>
      </c>
      <c r="D36" s="1" t="s">
        <v>308</v>
      </c>
      <c r="E36" s="1" t="s">
        <v>309</v>
      </c>
      <c r="F36" s="1" t="s">
        <v>310</v>
      </c>
      <c r="G36" s="1" t="s">
        <v>311</v>
      </c>
      <c r="H36" s="1" t="s">
        <v>312</v>
      </c>
      <c r="I36" s="1" t="s">
        <v>67</v>
      </c>
      <c r="J36" s="1" t="s">
        <v>68</v>
      </c>
      <c r="K36" s="1" t="s">
        <v>313</v>
      </c>
    </row>
    <row r="37" spans="1:11" ht="28.5">
      <c r="A37" s="1" t="s">
        <v>314</v>
      </c>
      <c r="B37" s="1" t="s">
        <v>315</v>
      </c>
      <c r="C37" s="1" t="s">
        <v>316</v>
      </c>
      <c r="D37" s="1" t="s">
        <v>317</v>
      </c>
      <c r="E37" s="1" t="s">
        <v>318</v>
      </c>
      <c r="F37" s="1" t="s">
        <v>319</v>
      </c>
      <c r="G37" s="1" t="s">
        <v>320</v>
      </c>
      <c r="H37" s="1" t="s">
        <v>321</v>
      </c>
      <c r="I37" s="1" t="s">
        <v>67</v>
      </c>
      <c r="J37" s="1" t="s">
        <v>68</v>
      </c>
      <c r="K37" s="1" t="s">
        <v>292</v>
      </c>
    </row>
    <row r="38" spans="1:11" ht="42.75">
      <c r="A38" s="1" t="s">
        <v>322</v>
      </c>
      <c r="B38" s="1" t="s">
        <v>315</v>
      </c>
      <c r="C38" s="1" t="s">
        <v>316</v>
      </c>
      <c r="D38" s="1" t="s">
        <v>323</v>
      </c>
      <c r="E38" s="1" t="s">
        <v>324</v>
      </c>
      <c r="F38" s="1" t="s">
        <v>325</v>
      </c>
      <c r="G38" s="1" t="s">
        <v>326</v>
      </c>
      <c r="H38" s="1" t="s">
        <v>327</v>
      </c>
      <c r="I38" s="1" t="s">
        <v>67</v>
      </c>
      <c r="J38" s="1" t="s">
        <v>68</v>
      </c>
      <c r="K38" s="1" t="s">
        <v>313</v>
      </c>
    </row>
    <row r="39" spans="1:11" ht="28.5">
      <c r="A39" s="1" t="s">
        <v>328</v>
      </c>
      <c r="B39" s="1" t="s">
        <v>315</v>
      </c>
      <c r="C39" s="1" t="s">
        <v>316</v>
      </c>
      <c r="D39" s="1" t="s">
        <v>329</v>
      </c>
      <c r="E39" s="1" t="s">
        <v>330</v>
      </c>
      <c r="F39" s="1" t="s">
        <v>331</v>
      </c>
      <c r="G39" s="1" t="s">
        <v>332</v>
      </c>
      <c r="H39" s="1" t="s">
        <v>333</v>
      </c>
      <c r="I39" s="1" t="s">
        <v>67</v>
      </c>
      <c r="J39" s="1" t="s">
        <v>68</v>
      </c>
      <c r="K39" s="1" t="s">
        <v>292</v>
      </c>
    </row>
    <row r="40" spans="1:11" ht="42.75">
      <c r="A40" s="1" t="s">
        <v>334</v>
      </c>
      <c r="B40" s="1" t="s">
        <v>315</v>
      </c>
      <c r="C40" s="1" t="s">
        <v>316</v>
      </c>
      <c r="D40" s="1" t="s">
        <v>335</v>
      </c>
      <c r="E40" s="1" t="s">
        <v>336</v>
      </c>
      <c r="F40" s="1" t="s">
        <v>337</v>
      </c>
      <c r="G40" s="1" t="s">
        <v>338</v>
      </c>
      <c r="H40" s="1" t="s">
        <v>339</v>
      </c>
      <c r="I40" s="1" t="s">
        <v>67</v>
      </c>
      <c r="J40" s="1" t="s">
        <v>104</v>
      </c>
      <c r="K40" s="1" t="s">
        <v>340</v>
      </c>
    </row>
    <row r="41" spans="1:11" ht="28.5">
      <c r="A41" s="1" t="s">
        <v>341</v>
      </c>
      <c r="B41" s="1" t="s">
        <v>315</v>
      </c>
      <c r="C41" s="1" t="s">
        <v>316</v>
      </c>
      <c r="D41" s="1" t="s">
        <v>342</v>
      </c>
      <c r="E41" s="1" t="s">
        <v>343</v>
      </c>
      <c r="F41" s="1" t="s">
        <v>344</v>
      </c>
      <c r="G41" s="1" t="s">
        <v>345</v>
      </c>
      <c r="H41" s="1" t="s">
        <v>346</v>
      </c>
      <c r="I41" s="1" t="s">
        <v>67</v>
      </c>
      <c r="J41" s="1" t="s">
        <v>68</v>
      </c>
      <c r="K41" s="1" t="s">
        <v>269</v>
      </c>
    </row>
    <row r="42" spans="1:11" ht="42.75">
      <c r="A42" s="1" t="s">
        <v>347</v>
      </c>
      <c r="B42" s="1" t="s">
        <v>348</v>
      </c>
      <c r="C42" s="1" t="s">
        <v>349</v>
      </c>
      <c r="D42" s="1" t="s">
        <v>350</v>
      </c>
      <c r="E42" s="1" t="s">
        <v>351</v>
      </c>
      <c r="F42" s="1" t="s">
        <v>352</v>
      </c>
      <c r="G42" s="1" t="s">
        <v>353</v>
      </c>
      <c r="H42" s="1" t="s">
        <v>354</v>
      </c>
      <c r="I42" s="1" t="s">
        <v>67</v>
      </c>
      <c r="J42" s="1" t="s">
        <v>68</v>
      </c>
      <c r="K42" s="1" t="s">
        <v>355</v>
      </c>
    </row>
    <row r="43" spans="1:11" ht="42.75">
      <c r="A43" s="1" t="s">
        <v>356</v>
      </c>
      <c r="B43" s="1" t="s">
        <v>348</v>
      </c>
      <c r="C43" s="1" t="s">
        <v>349</v>
      </c>
      <c r="D43" s="1" t="s">
        <v>357</v>
      </c>
      <c r="E43" s="1" t="s">
        <v>358</v>
      </c>
      <c r="F43" s="1" t="s">
        <v>359</v>
      </c>
      <c r="G43" s="1" t="s">
        <v>360</v>
      </c>
      <c r="H43" s="1" t="s">
        <v>361</v>
      </c>
      <c r="I43" s="1" t="s">
        <v>97</v>
      </c>
      <c r="J43" s="1" t="s">
        <v>104</v>
      </c>
      <c r="K43" s="1" t="s">
        <v>226</v>
      </c>
    </row>
    <row r="44" spans="1:11" ht="28.5">
      <c r="A44" s="1" t="s">
        <v>362</v>
      </c>
      <c r="B44" s="1" t="s">
        <v>348</v>
      </c>
      <c r="C44" s="1" t="s">
        <v>349</v>
      </c>
      <c r="D44" s="1" t="s">
        <v>363</v>
      </c>
      <c r="E44" s="1" t="s">
        <v>364</v>
      </c>
      <c r="F44" s="1" t="s">
        <v>365</v>
      </c>
      <c r="G44" s="1" t="s">
        <v>366</v>
      </c>
      <c r="H44" s="1" t="s">
        <v>367</v>
      </c>
      <c r="I44" s="1" t="s">
        <v>67</v>
      </c>
      <c r="J44" s="1" t="s">
        <v>68</v>
      </c>
      <c r="K44" s="1" t="s">
        <v>368</v>
      </c>
    </row>
    <row r="45" spans="1:11" ht="28.5">
      <c r="A45" s="1" t="s">
        <v>369</v>
      </c>
      <c r="B45" s="1" t="s">
        <v>348</v>
      </c>
      <c r="C45" s="1" t="s">
        <v>349</v>
      </c>
      <c r="D45" s="1" t="s">
        <v>370</v>
      </c>
      <c r="E45" s="1" t="s">
        <v>371</v>
      </c>
      <c r="F45" s="1" t="s">
        <v>372</v>
      </c>
      <c r="G45" s="1" t="s">
        <v>373</v>
      </c>
      <c r="H45" s="1" t="s">
        <v>374</v>
      </c>
      <c r="I45" s="1" t="s">
        <v>67</v>
      </c>
      <c r="J45" s="1" t="s">
        <v>68</v>
      </c>
      <c r="K45" s="1" t="s">
        <v>248</v>
      </c>
    </row>
    <row r="46" spans="1:11" ht="28.5">
      <c r="A46" s="1" t="s">
        <v>375</v>
      </c>
      <c r="B46" s="1" t="s">
        <v>348</v>
      </c>
      <c r="C46" s="1" t="s">
        <v>349</v>
      </c>
      <c r="D46" s="1" t="s">
        <v>376</v>
      </c>
      <c r="E46" s="1" t="s">
        <v>377</v>
      </c>
      <c r="F46" s="1" t="s">
        <v>378</v>
      </c>
      <c r="G46" s="1" t="s">
        <v>379</v>
      </c>
      <c r="H46" s="1" t="s">
        <v>380</v>
      </c>
      <c r="I46" s="1" t="s">
        <v>97</v>
      </c>
      <c r="J46" s="1" t="s">
        <v>68</v>
      </c>
      <c r="K46" s="1" t="s">
        <v>83</v>
      </c>
    </row>
    <row r="47" spans="1:11" ht="28.5">
      <c r="A47" s="1" t="s">
        <v>381</v>
      </c>
      <c r="B47" s="1" t="s">
        <v>382</v>
      </c>
      <c r="C47" s="1" t="s">
        <v>383</v>
      </c>
      <c r="D47" s="1" t="s">
        <v>384</v>
      </c>
      <c r="E47" s="1" t="s">
        <v>385</v>
      </c>
      <c r="F47" s="1" t="s">
        <v>386</v>
      </c>
      <c r="G47" s="1" t="s">
        <v>387</v>
      </c>
      <c r="H47" s="1" t="s">
        <v>388</v>
      </c>
      <c r="I47" s="1" t="s">
        <v>67</v>
      </c>
      <c r="J47" s="1" t="s">
        <v>68</v>
      </c>
      <c r="K47" s="1" t="s">
        <v>389</v>
      </c>
    </row>
    <row r="48" spans="1:11" ht="28.5">
      <c r="A48" s="1" t="s">
        <v>390</v>
      </c>
      <c r="B48" s="1" t="s">
        <v>382</v>
      </c>
      <c r="C48" s="1" t="s">
        <v>391</v>
      </c>
      <c r="D48" s="1" t="s">
        <v>392</v>
      </c>
      <c r="E48" s="1" t="s">
        <v>393</v>
      </c>
      <c r="F48" s="1" t="s">
        <v>394</v>
      </c>
      <c r="G48" s="1" t="s">
        <v>395</v>
      </c>
      <c r="H48" s="1" t="s">
        <v>396</v>
      </c>
      <c r="I48" s="1" t="s">
        <v>67</v>
      </c>
      <c r="J48" s="1" t="s">
        <v>68</v>
      </c>
      <c r="K48" s="1" t="s">
        <v>397</v>
      </c>
    </row>
    <row r="49" spans="1:11" ht="28.5">
      <c r="A49" s="1" t="s">
        <v>398</v>
      </c>
      <c r="B49" s="1" t="s">
        <v>382</v>
      </c>
      <c r="C49" s="1" t="s">
        <v>383</v>
      </c>
      <c r="D49" s="1" t="s">
        <v>399</v>
      </c>
      <c r="E49" s="1" t="s">
        <v>400</v>
      </c>
      <c r="F49" s="1" t="s">
        <v>401</v>
      </c>
      <c r="G49" s="1" t="s">
        <v>402</v>
      </c>
      <c r="H49" s="1" t="s">
        <v>403</v>
      </c>
      <c r="I49" s="1" t="s">
        <v>97</v>
      </c>
      <c r="J49" s="1" t="s">
        <v>68</v>
      </c>
      <c r="K49" s="1" t="s">
        <v>397</v>
      </c>
    </row>
    <row r="50" spans="1:11" ht="28.5">
      <c r="A50" s="1" t="s">
        <v>404</v>
      </c>
      <c r="B50" s="1" t="s">
        <v>382</v>
      </c>
      <c r="C50" s="1" t="s">
        <v>383</v>
      </c>
      <c r="D50" s="1" t="s">
        <v>405</v>
      </c>
      <c r="E50" s="1" t="s">
        <v>406</v>
      </c>
      <c r="F50" s="1" t="s">
        <v>407</v>
      </c>
      <c r="G50" s="1" t="s">
        <v>408</v>
      </c>
      <c r="H50" s="1" t="s">
        <v>409</v>
      </c>
      <c r="I50" s="1" t="s">
        <v>67</v>
      </c>
      <c r="J50" s="1" t="s">
        <v>68</v>
      </c>
      <c r="K50" s="1" t="s">
        <v>183</v>
      </c>
    </row>
    <row r="51" spans="1:11" ht="42.75">
      <c r="A51" s="1" t="s">
        <v>410</v>
      </c>
      <c r="B51" s="1" t="s">
        <v>411</v>
      </c>
      <c r="C51" s="1" t="s">
        <v>412</v>
      </c>
      <c r="D51" s="1" t="s">
        <v>413</v>
      </c>
      <c r="E51" s="1" t="s">
        <v>414</v>
      </c>
      <c r="F51" s="1" t="s">
        <v>415</v>
      </c>
      <c r="G51" s="1" t="s">
        <v>416</v>
      </c>
      <c r="H51" s="1" t="s">
        <v>417</v>
      </c>
      <c r="I51" s="1" t="s">
        <v>67</v>
      </c>
      <c r="J51" s="1" t="s">
        <v>68</v>
      </c>
      <c r="K51" s="1" t="s">
        <v>418</v>
      </c>
    </row>
    <row r="52" spans="1:11" ht="28.5">
      <c r="A52" s="1" t="s">
        <v>419</v>
      </c>
      <c r="B52" s="1" t="s">
        <v>411</v>
      </c>
      <c r="C52" s="1" t="s">
        <v>412</v>
      </c>
      <c r="D52" s="1" t="s">
        <v>420</v>
      </c>
      <c r="E52" s="1" t="s">
        <v>421</v>
      </c>
      <c r="F52" s="1" t="s">
        <v>422</v>
      </c>
      <c r="G52" s="1" t="s">
        <v>423</v>
      </c>
      <c r="H52" s="1" t="s">
        <v>424</v>
      </c>
      <c r="I52" s="1" t="s">
        <v>97</v>
      </c>
      <c r="J52" s="1" t="s">
        <v>68</v>
      </c>
      <c r="K52" s="1" t="s">
        <v>425</v>
      </c>
    </row>
    <row r="53" spans="1:11" ht="28.5">
      <c r="A53" s="1" t="s">
        <v>426</v>
      </c>
      <c r="B53" s="1" t="s">
        <v>411</v>
      </c>
      <c r="C53" s="1" t="s">
        <v>427</v>
      </c>
      <c r="D53" s="1" t="s">
        <v>428</v>
      </c>
      <c r="E53" s="1" t="s">
        <v>429</v>
      </c>
      <c r="F53" s="1" t="s">
        <v>430</v>
      </c>
      <c r="G53" s="1" t="s">
        <v>431</v>
      </c>
      <c r="H53" s="1" t="s">
        <v>432</v>
      </c>
      <c r="I53" s="1" t="s">
        <v>97</v>
      </c>
      <c r="J53" s="1" t="s">
        <v>68</v>
      </c>
      <c r="K53" s="1" t="s">
        <v>83</v>
      </c>
    </row>
    <row r="54" spans="1:11" ht="28.5">
      <c r="A54" s="1" t="s">
        <v>433</v>
      </c>
      <c r="B54" s="1" t="s">
        <v>411</v>
      </c>
      <c r="C54" s="1" t="s">
        <v>412</v>
      </c>
      <c r="D54" s="1" t="s">
        <v>434</v>
      </c>
      <c r="E54" s="1" t="s">
        <v>435</v>
      </c>
      <c r="F54" s="1" t="s">
        <v>436</v>
      </c>
      <c r="G54" s="1" t="s">
        <v>437</v>
      </c>
      <c r="H54" s="1" t="s">
        <v>438</v>
      </c>
      <c r="I54" s="1" t="s">
        <v>97</v>
      </c>
      <c r="J54" s="1" t="s">
        <v>104</v>
      </c>
      <c r="K54" s="1" t="s">
        <v>425</v>
      </c>
    </row>
    <row r="55" spans="1:11" ht="42.75">
      <c r="A55" s="1" t="s">
        <v>439</v>
      </c>
      <c r="B55" s="1" t="s">
        <v>440</v>
      </c>
      <c r="C55" s="1" t="s">
        <v>441</v>
      </c>
      <c r="D55" s="1" t="s">
        <v>442</v>
      </c>
      <c r="E55" s="1" t="s">
        <v>443</v>
      </c>
      <c r="F55" s="1" t="s">
        <v>444</v>
      </c>
      <c r="G55" s="1" t="s">
        <v>445</v>
      </c>
      <c r="H55" s="1" t="s">
        <v>446</v>
      </c>
      <c r="I55" s="1" t="s">
        <v>67</v>
      </c>
      <c r="J55" s="1" t="s">
        <v>68</v>
      </c>
      <c r="K55" s="1" t="s">
        <v>447</v>
      </c>
    </row>
    <row r="56" spans="1:11" ht="28.5">
      <c r="A56" s="1" t="s">
        <v>448</v>
      </c>
      <c r="B56" s="1" t="s">
        <v>440</v>
      </c>
      <c r="C56" s="1" t="s">
        <v>441</v>
      </c>
      <c r="D56" s="1" t="s">
        <v>449</v>
      </c>
      <c r="E56" s="1" t="s">
        <v>450</v>
      </c>
      <c r="F56" s="1" t="s">
        <v>451</v>
      </c>
      <c r="G56" s="1" t="s">
        <v>452</v>
      </c>
      <c r="H56" s="1" t="s">
        <v>453</v>
      </c>
      <c r="I56" s="1" t="s">
        <v>67</v>
      </c>
      <c r="J56" s="1" t="s">
        <v>68</v>
      </c>
      <c r="K56" s="1" t="s">
        <v>454</v>
      </c>
    </row>
    <row r="57" spans="1:11" ht="42.75">
      <c r="A57" s="1" t="s">
        <v>455</v>
      </c>
      <c r="B57" s="1" t="s">
        <v>440</v>
      </c>
      <c r="C57" s="1" t="s">
        <v>456</v>
      </c>
      <c r="D57" s="1" t="s">
        <v>457</v>
      </c>
      <c r="E57" s="1" t="s">
        <v>458</v>
      </c>
      <c r="F57" s="1" t="s">
        <v>459</v>
      </c>
      <c r="G57" s="1" t="s">
        <v>460</v>
      </c>
      <c r="H57" s="1" t="s">
        <v>461</v>
      </c>
      <c r="I57" s="1" t="s">
        <v>97</v>
      </c>
      <c r="J57" s="1" t="s">
        <v>104</v>
      </c>
      <c r="K57" s="1" t="s">
        <v>83</v>
      </c>
    </row>
    <row r="58" spans="1:11" ht="28.5">
      <c r="A58" s="1" t="s">
        <v>462</v>
      </c>
      <c r="B58" s="1" t="s">
        <v>440</v>
      </c>
      <c r="C58" s="1" t="s">
        <v>463</v>
      </c>
      <c r="D58" s="1" t="s">
        <v>464</v>
      </c>
      <c r="E58" s="1" t="s">
        <v>465</v>
      </c>
      <c r="F58" s="1" t="s">
        <v>466</v>
      </c>
      <c r="G58" s="1" t="s">
        <v>467</v>
      </c>
      <c r="H58" s="1" t="s">
        <v>468</v>
      </c>
      <c r="I58" s="1" t="s">
        <v>67</v>
      </c>
      <c r="J58" s="1" t="s">
        <v>68</v>
      </c>
      <c r="K58" s="1" t="s">
        <v>292</v>
      </c>
    </row>
    <row r="59" spans="1:11" ht="28.5">
      <c r="A59" s="1" t="s">
        <v>469</v>
      </c>
      <c r="B59" s="1" t="s">
        <v>440</v>
      </c>
      <c r="C59" s="1" t="s">
        <v>463</v>
      </c>
      <c r="D59" s="1" t="s">
        <v>470</v>
      </c>
      <c r="E59" s="1" t="s">
        <v>471</v>
      </c>
      <c r="F59" s="1" t="s">
        <v>472</v>
      </c>
      <c r="G59" s="1" t="s">
        <v>473</v>
      </c>
      <c r="H59" s="1" t="s">
        <v>474</v>
      </c>
      <c r="I59" s="1" t="s">
        <v>97</v>
      </c>
      <c r="J59" s="1" t="s">
        <v>104</v>
      </c>
      <c r="K59" s="1" t="s">
        <v>83</v>
      </c>
    </row>
    <row r="60" spans="1:11" ht="42.75">
      <c r="A60" s="1" t="s">
        <v>475</v>
      </c>
      <c r="B60" s="1" t="s">
        <v>476</v>
      </c>
      <c r="C60" s="1" t="s">
        <v>477</v>
      </c>
      <c r="D60" s="1" t="s">
        <v>478</v>
      </c>
      <c r="E60" s="1" t="s">
        <v>479</v>
      </c>
      <c r="F60" s="1" t="s">
        <v>480</v>
      </c>
      <c r="G60" s="1" t="s">
        <v>481</v>
      </c>
      <c r="H60" s="1" t="s">
        <v>482</v>
      </c>
      <c r="I60" s="1" t="s">
        <v>67</v>
      </c>
      <c r="J60" s="1" t="s">
        <v>68</v>
      </c>
      <c r="K60" s="1" t="s">
        <v>83</v>
      </c>
    </row>
    <row r="61" spans="1:11" ht="28.5">
      <c r="A61" s="1" t="s">
        <v>483</v>
      </c>
      <c r="B61" s="1" t="s">
        <v>476</v>
      </c>
      <c r="C61" s="1" t="s">
        <v>477</v>
      </c>
      <c r="D61" s="1" t="s">
        <v>484</v>
      </c>
      <c r="E61" s="1" t="s">
        <v>485</v>
      </c>
      <c r="F61" s="1" t="s">
        <v>486</v>
      </c>
      <c r="G61" s="1" t="s">
        <v>487</v>
      </c>
      <c r="H61" s="1" t="s">
        <v>488</v>
      </c>
      <c r="I61" s="1" t="s">
        <v>97</v>
      </c>
      <c r="J61" s="1" t="s">
        <v>68</v>
      </c>
      <c r="K61" s="1" t="s">
        <v>83</v>
      </c>
    </row>
    <row r="62" spans="1:11" ht="42.75">
      <c r="A62" s="1" t="s">
        <v>489</v>
      </c>
      <c r="B62" s="1" t="s">
        <v>476</v>
      </c>
      <c r="C62" s="1" t="s">
        <v>490</v>
      </c>
      <c r="D62" s="1" t="s">
        <v>491</v>
      </c>
      <c r="E62" s="1" t="s">
        <v>492</v>
      </c>
      <c r="F62" s="1" t="s">
        <v>493</v>
      </c>
      <c r="G62" s="1" t="s">
        <v>494</v>
      </c>
      <c r="H62" s="1" t="s">
        <v>495</v>
      </c>
      <c r="I62" s="1" t="s">
        <v>97</v>
      </c>
      <c r="J62" s="1" t="s">
        <v>104</v>
      </c>
      <c r="K62" s="1" t="s">
        <v>83</v>
      </c>
    </row>
    <row r="63" spans="1:11" ht="28.5">
      <c r="A63" s="1" t="s">
        <v>496</v>
      </c>
      <c r="B63" s="1" t="s">
        <v>476</v>
      </c>
      <c r="C63" s="1" t="s">
        <v>477</v>
      </c>
      <c r="D63" s="1" t="s">
        <v>497</v>
      </c>
      <c r="E63" s="1" t="s">
        <v>498</v>
      </c>
      <c r="F63" s="1" t="s">
        <v>499</v>
      </c>
      <c r="G63" s="1" t="s">
        <v>500</v>
      </c>
      <c r="H63" s="1" t="s">
        <v>501</v>
      </c>
      <c r="I63" s="1" t="s">
        <v>67</v>
      </c>
      <c r="J63" s="1" t="s">
        <v>68</v>
      </c>
      <c r="K63" s="1" t="s">
        <v>83</v>
      </c>
    </row>
    <row r="64" spans="1:11" ht="42.75">
      <c r="A64" s="1" t="s">
        <v>502</v>
      </c>
      <c r="B64" s="1" t="s">
        <v>476</v>
      </c>
      <c r="C64" s="1" t="s">
        <v>477</v>
      </c>
      <c r="D64" s="1" t="s">
        <v>503</v>
      </c>
      <c r="E64" s="1" t="s">
        <v>504</v>
      </c>
      <c r="F64" s="1" t="s">
        <v>505</v>
      </c>
      <c r="G64" s="1" t="s">
        <v>506</v>
      </c>
      <c r="H64" s="1" t="s">
        <v>507</v>
      </c>
      <c r="I64" s="1" t="s">
        <v>67</v>
      </c>
      <c r="J64" s="1" t="s">
        <v>68</v>
      </c>
      <c r="K64" s="1" t="s">
        <v>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7"/>
  <sheetViews>
    <sheetView topLeftCell="A50" workbookViewId="0">
      <selection sqref="A1:O1"/>
    </sheetView>
  </sheetViews>
  <sheetFormatPr baseColWidth="10" defaultColWidth="9" defaultRowHeight="14.25"/>
  <cols>
    <col min="1" max="1" width="10" customWidth="1"/>
    <col min="2" max="2" width="25" customWidth="1"/>
    <col min="3" max="3" width="20" customWidth="1"/>
    <col min="4" max="4" width="36" customWidth="1"/>
    <col min="5" max="5" width="40" customWidth="1"/>
    <col min="6" max="6" width="42" customWidth="1"/>
    <col min="7" max="7" width="12" customWidth="1"/>
    <col min="8" max="8" width="18" customWidth="1"/>
    <col min="9" max="9" width="34" customWidth="1"/>
    <col min="10" max="11" width="30" customWidth="1"/>
    <col min="12" max="12" width="8" customWidth="1"/>
    <col min="13" max="13" width="12" customWidth="1"/>
    <col min="14" max="14" width="16" customWidth="1"/>
    <col min="15" max="15" width="18" customWidth="1"/>
  </cols>
  <sheetData>
    <row r="1" spans="1:15" ht="18">
      <c r="A1" s="6" t="s">
        <v>508</v>
      </c>
      <c r="B1" s="6"/>
      <c r="C1" s="6"/>
      <c r="D1" s="6"/>
      <c r="E1" s="6"/>
      <c r="F1" s="6"/>
      <c r="G1" s="6"/>
      <c r="H1" s="6"/>
      <c r="I1" s="6"/>
      <c r="J1" s="6"/>
      <c r="K1" s="6"/>
      <c r="L1" s="6"/>
      <c r="M1" s="6"/>
      <c r="N1" s="6"/>
      <c r="O1" s="6"/>
    </row>
    <row r="2" spans="1:15" ht="28.5">
      <c r="A2" s="3" t="s">
        <v>509</v>
      </c>
      <c r="B2" s="9"/>
      <c r="C2" s="9"/>
      <c r="D2" s="9"/>
      <c r="E2" s="3" t="s">
        <v>510</v>
      </c>
      <c r="F2" s="9" t="s">
        <v>511</v>
      </c>
      <c r="G2" s="9"/>
      <c r="H2" s="3" t="s">
        <v>512</v>
      </c>
      <c r="I2" s="9" t="s">
        <v>513</v>
      </c>
      <c r="J2" s="9"/>
      <c r="K2" s="9"/>
      <c r="L2" s="9"/>
      <c r="M2" s="9"/>
      <c r="N2" s="9"/>
      <c r="O2" s="9"/>
    </row>
    <row r="3" spans="1:15">
      <c r="A3" s="1"/>
      <c r="B3" s="1"/>
      <c r="C3" s="1"/>
      <c r="D3" s="1"/>
      <c r="E3" s="1"/>
      <c r="F3" s="1"/>
      <c r="G3" s="1"/>
      <c r="H3" s="1"/>
      <c r="I3" s="1"/>
      <c r="J3" s="1"/>
      <c r="K3" s="1"/>
      <c r="L3" s="1"/>
      <c r="M3" s="1"/>
      <c r="N3" s="1"/>
      <c r="O3" s="1"/>
    </row>
    <row r="4" spans="1:15" ht="30">
      <c r="A4" s="2" t="s">
        <v>48</v>
      </c>
      <c r="B4" s="2" t="s">
        <v>49</v>
      </c>
      <c r="C4" s="2" t="s">
        <v>50</v>
      </c>
      <c r="D4" s="2" t="s">
        <v>51</v>
      </c>
      <c r="E4" s="2" t="s">
        <v>514</v>
      </c>
      <c r="F4" s="2" t="s">
        <v>515</v>
      </c>
      <c r="G4" s="2" t="s">
        <v>56</v>
      </c>
      <c r="H4" s="2" t="s">
        <v>516</v>
      </c>
      <c r="I4" s="2" t="s">
        <v>517</v>
      </c>
      <c r="J4" s="2" t="s">
        <v>518</v>
      </c>
      <c r="K4" s="2" t="s">
        <v>519</v>
      </c>
      <c r="L4" s="2" t="s">
        <v>520</v>
      </c>
      <c r="M4" s="2" t="s">
        <v>521</v>
      </c>
      <c r="N4" s="2" t="s">
        <v>522</v>
      </c>
      <c r="O4" s="2" t="s">
        <v>523</v>
      </c>
    </row>
    <row r="5" spans="1:15" ht="42.75">
      <c r="A5" s="1" t="s">
        <v>59</v>
      </c>
      <c r="B5" s="1" t="s">
        <v>60</v>
      </c>
      <c r="C5" s="1" t="s">
        <v>61</v>
      </c>
      <c r="D5" s="1" t="s">
        <v>62</v>
      </c>
      <c r="E5" s="1" t="s">
        <v>64</v>
      </c>
      <c r="F5" s="1" t="s">
        <v>66</v>
      </c>
      <c r="G5" s="1" t="s">
        <v>67</v>
      </c>
      <c r="H5" s="1"/>
      <c r="I5" s="1"/>
      <c r="J5" s="1"/>
      <c r="K5" s="1"/>
      <c r="L5" s="1">
        <v>3</v>
      </c>
      <c r="M5" s="4" t="str">
        <f t="shared" ref="M5:M36" si="0">IF(H5="Cumple",100,IF(H5="Parcial",50,IF(H5="No cumple",0,"")))</f>
        <v/>
      </c>
      <c r="N5" s="4" t="str">
        <f t="shared" ref="N5:N36" si="1">IF(M5="","",M5*L5)</f>
        <v/>
      </c>
      <c r="O5" s="1" t="str">
        <f t="shared" ref="O5:O36" si="2">IF(M5="","Sin evaluar",IF(M5=100,"Acepta",IF(M5=50,"Requiere aclaración","No cumple")))</f>
        <v>Sin evaluar</v>
      </c>
    </row>
    <row r="6" spans="1:15" ht="28.5">
      <c r="A6" s="1" t="s">
        <v>70</v>
      </c>
      <c r="B6" s="1" t="s">
        <v>60</v>
      </c>
      <c r="C6" s="1" t="s">
        <v>61</v>
      </c>
      <c r="D6" s="1" t="s">
        <v>71</v>
      </c>
      <c r="E6" s="1" t="s">
        <v>73</v>
      </c>
      <c r="F6" s="1" t="s">
        <v>75</v>
      </c>
      <c r="G6" s="1" t="s">
        <v>67</v>
      </c>
      <c r="H6" s="1"/>
      <c r="I6" s="1"/>
      <c r="J6" s="1"/>
      <c r="K6" s="1"/>
      <c r="L6" s="1">
        <v>3</v>
      </c>
      <c r="M6" s="4" t="str">
        <f t="shared" si="0"/>
        <v/>
      </c>
      <c r="N6" s="4" t="str">
        <f t="shared" si="1"/>
        <v/>
      </c>
      <c r="O6" s="1" t="str">
        <f t="shared" si="2"/>
        <v>Sin evaluar</v>
      </c>
    </row>
    <row r="7" spans="1:15" ht="42.75">
      <c r="A7" s="1" t="s">
        <v>77</v>
      </c>
      <c r="B7" s="1" t="s">
        <v>60</v>
      </c>
      <c r="C7" s="1" t="s">
        <v>61</v>
      </c>
      <c r="D7" s="1" t="s">
        <v>78</v>
      </c>
      <c r="E7" s="1" t="s">
        <v>80</v>
      </c>
      <c r="F7" s="1" t="s">
        <v>82</v>
      </c>
      <c r="G7" s="1" t="s">
        <v>67</v>
      </c>
      <c r="H7" s="1"/>
      <c r="I7" s="1"/>
      <c r="J7" s="1"/>
      <c r="K7" s="1"/>
      <c r="L7" s="1">
        <v>3</v>
      </c>
      <c r="M7" s="4" t="str">
        <f t="shared" si="0"/>
        <v/>
      </c>
      <c r="N7" s="4" t="str">
        <f t="shared" si="1"/>
        <v/>
      </c>
      <c r="O7" s="1" t="str">
        <f t="shared" si="2"/>
        <v>Sin evaluar</v>
      </c>
    </row>
    <row r="8" spans="1:15" ht="42.75">
      <c r="A8" s="1" t="s">
        <v>84</v>
      </c>
      <c r="B8" s="1" t="s">
        <v>60</v>
      </c>
      <c r="C8" s="1" t="s">
        <v>61</v>
      </c>
      <c r="D8" s="1" t="s">
        <v>85</v>
      </c>
      <c r="E8" s="1" t="s">
        <v>87</v>
      </c>
      <c r="F8" s="1" t="s">
        <v>89</v>
      </c>
      <c r="G8" s="1" t="s">
        <v>67</v>
      </c>
      <c r="H8" s="1"/>
      <c r="I8" s="1"/>
      <c r="J8" s="1"/>
      <c r="K8" s="1"/>
      <c r="L8" s="1">
        <v>3</v>
      </c>
      <c r="M8" s="4" t="str">
        <f t="shared" si="0"/>
        <v/>
      </c>
      <c r="N8" s="4" t="str">
        <f t="shared" si="1"/>
        <v/>
      </c>
      <c r="O8" s="1" t="str">
        <f t="shared" si="2"/>
        <v>Sin evaluar</v>
      </c>
    </row>
    <row r="9" spans="1:15" ht="28.5">
      <c r="A9" s="1" t="s">
        <v>91</v>
      </c>
      <c r="B9" s="1" t="s">
        <v>60</v>
      </c>
      <c r="C9" s="1" t="s">
        <v>61</v>
      </c>
      <c r="D9" s="1" t="s">
        <v>92</v>
      </c>
      <c r="E9" s="1" t="s">
        <v>94</v>
      </c>
      <c r="F9" s="1" t="s">
        <v>96</v>
      </c>
      <c r="G9" s="1" t="s">
        <v>97</v>
      </c>
      <c r="H9" s="1"/>
      <c r="I9" s="1"/>
      <c r="J9" s="1"/>
      <c r="K9" s="1"/>
      <c r="L9" s="1">
        <v>2</v>
      </c>
      <c r="M9" s="4" t="str">
        <f t="shared" si="0"/>
        <v/>
      </c>
      <c r="N9" s="4" t="str">
        <f t="shared" si="1"/>
        <v/>
      </c>
      <c r="O9" s="1" t="str">
        <f t="shared" si="2"/>
        <v>Sin evaluar</v>
      </c>
    </row>
    <row r="10" spans="1:15" ht="28.5">
      <c r="A10" s="1" t="s">
        <v>98</v>
      </c>
      <c r="B10" s="1" t="s">
        <v>60</v>
      </c>
      <c r="C10" s="1" t="s">
        <v>61</v>
      </c>
      <c r="D10" s="1" t="s">
        <v>99</v>
      </c>
      <c r="E10" s="1" t="s">
        <v>101</v>
      </c>
      <c r="F10" s="1" t="s">
        <v>103</v>
      </c>
      <c r="G10" s="1" t="s">
        <v>97</v>
      </c>
      <c r="H10" s="1"/>
      <c r="I10" s="1"/>
      <c r="J10" s="1"/>
      <c r="K10" s="1"/>
      <c r="L10" s="1">
        <v>2</v>
      </c>
      <c r="M10" s="4" t="str">
        <f t="shared" si="0"/>
        <v/>
      </c>
      <c r="N10" s="4" t="str">
        <f t="shared" si="1"/>
        <v/>
      </c>
      <c r="O10" s="1" t="str">
        <f t="shared" si="2"/>
        <v>Sin evaluar</v>
      </c>
    </row>
    <row r="11" spans="1:15" ht="28.5">
      <c r="A11" s="1" t="s">
        <v>105</v>
      </c>
      <c r="B11" s="1" t="s">
        <v>106</v>
      </c>
      <c r="C11" s="1" t="s">
        <v>107</v>
      </c>
      <c r="D11" s="1" t="s">
        <v>108</v>
      </c>
      <c r="E11" s="1" t="s">
        <v>110</v>
      </c>
      <c r="F11" s="1" t="s">
        <v>112</v>
      </c>
      <c r="G11" s="1" t="s">
        <v>67</v>
      </c>
      <c r="H11" s="1"/>
      <c r="I11" s="1"/>
      <c r="J11" s="1"/>
      <c r="K11" s="1"/>
      <c r="L11" s="1">
        <v>3</v>
      </c>
      <c r="M11" s="4" t="str">
        <f t="shared" si="0"/>
        <v/>
      </c>
      <c r="N11" s="4" t="str">
        <f t="shared" si="1"/>
        <v/>
      </c>
      <c r="O11" s="1" t="str">
        <f t="shared" si="2"/>
        <v>Sin evaluar</v>
      </c>
    </row>
    <row r="12" spans="1:15" ht="28.5">
      <c r="A12" s="1" t="s">
        <v>114</v>
      </c>
      <c r="B12" s="1" t="s">
        <v>106</v>
      </c>
      <c r="C12" s="1" t="s">
        <v>107</v>
      </c>
      <c r="D12" s="1" t="s">
        <v>115</v>
      </c>
      <c r="E12" s="1" t="s">
        <v>117</v>
      </c>
      <c r="F12" s="1" t="s">
        <v>119</v>
      </c>
      <c r="G12" s="1" t="s">
        <v>67</v>
      </c>
      <c r="H12" s="1"/>
      <c r="I12" s="1"/>
      <c r="J12" s="1"/>
      <c r="K12" s="1"/>
      <c r="L12" s="1">
        <v>3</v>
      </c>
      <c r="M12" s="4" t="str">
        <f t="shared" si="0"/>
        <v/>
      </c>
      <c r="N12" s="4" t="str">
        <f t="shared" si="1"/>
        <v/>
      </c>
      <c r="O12" s="1" t="str">
        <f t="shared" si="2"/>
        <v>Sin evaluar</v>
      </c>
    </row>
    <row r="13" spans="1:15" ht="28.5">
      <c r="A13" s="1" t="s">
        <v>120</v>
      </c>
      <c r="B13" s="1" t="s">
        <v>106</v>
      </c>
      <c r="C13" s="1" t="s">
        <v>107</v>
      </c>
      <c r="D13" s="1" t="s">
        <v>121</v>
      </c>
      <c r="E13" s="1" t="s">
        <v>123</v>
      </c>
      <c r="F13" s="1" t="s">
        <v>125</v>
      </c>
      <c r="G13" s="1" t="s">
        <v>67</v>
      </c>
      <c r="H13" s="1"/>
      <c r="I13" s="1"/>
      <c r="J13" s="1"/>
      <c r="K13" s="1"/>
      <c r="L13" s="1">
        <v>3</v>
      </c>
      <c r="M13" s="4" t="str">
        <f t="shared" si="0"/>
        <v/>
      </c>
      <c r="N13" s="4" t="str">
        <f t="shared" si="1"/>
        <v/>
      </c>
      <c r="O13" s="1" t="str">
        <f t="shared" si="2"/>
        <v>Sin evaluar</v>
      </c>
    </row>
    <row r="14" spans="1:15" ht="28.5">
      <c r="A14" s="1" t="s">
        <v>127</v>
      </c>
      <c r="B14" s="1" t="s">
        <v>106</v>
      </c>
      <c r="C14" s="1" t="s">
        <v>107</v>
      </c>
      <c r="D14" s="1" t="s">
        <v>128</v>
      </c>
      <c r="E14" s="1" t="s">
        <v>130</v>
      </c>
      <c r="F14" s="1" t="s">
        <v>132</v>
      </c>
      <c r="G14" s="1" t="s">
        <v>67</v>
      </c>
      <c r="H14" s="1"/>
      <c r="I14" s="1"/>
      <c r="J14" s="1"/>
      <c r="K14" s="1"/>
      <c r="L14" s="1">
        <v>3</v>
      </c>
      <c r="M14" s="4" t="str">
        <f t="shared" si="0"/>
        <v/>
      </c>
      <c r="N14" s="4" t="str">
        <f t="shared" si="1"/>
        <v/>
      </c>
      <c r="O14" s="1" t="str">
        <f t="shared" si="2"/>
        <v>Sin evaluar</v>
      </c>
    </row>
    <row r="15" spans="1:15" ht="28.5">
      <c r="A15" s="1" t="s">
        <v>133</v>
      </c>
      <c r="B15" s="1" t="s">
        <v>106</v>
      </c>
      <c r="C15" s="1" t="s">
        <v>107</v>
      </c>
      <c r="D15" s="1" t="s">
        <v>134</v>
      </c>
      <c r="E15" s="1" t="s">
        <v>136</v>
      </c>
      <c r="F15" s="1" t="s">
        <v>138</v>
      </c>
      <c r="G15" s="1" t="s">
        <v>97</v>
      </c>
      <c r="H15" s="1"/>
      <c r="I15" s="1"/>
      <c r="J15" s="1"/>
      <c r="K15" s="1"/>
      <c r="L15" s="1">
        <v>2</v>
      </c>
      <c r="M15" s="4" t="str">
        <f t="shared" si="0"/>
        <v/>
      </c>
      <c r="N15" s="4" t="str">
        <f t="shared" si="1"/>
        <v/>
      </c>
      <c r="O15" s="1" t="str">
        <f t="shared" si="2"/>
        <v>Sin evaluar</v>
      </c>
    </row>
    <row r="16" spans="1:15" ht="28.5">
      <c r="A16" s="1" t="s">
        <v>140</v>
      </c>
      <c r="B16" s="1" t="s">
        <v>141</v>
      </c>
      <c r="C16" s="1" t="s">
        <v>142</v>
      </c>
      <c r="D16" s="1" t="s">
        <v>143</v>
      </c>
      <c r="E16" s="1" t="s">
        <v>145</v>
      </c>
      <c r="F16" s="1" t="s">
        <v>147</v>
      </c>
      <c r="G16" s="1" t="s">
        <v>67</v>
      </c>
      <c r="H16" s="1"/>
      <c r="I16" s="1"/>
      <c r="J16" s="1"/>
      <c r="K16" s="1"/>
      <c r="L16" s="1">
        <v>3</v>
      </c>
      <c r="M16" s="4" t="str">
        <f t="shared" si="0"/>
        <v/>
      </c>
      <c r="N16" s="4" t="str">
        <f t="shared" si="1"/>
        <v/>
      </c>
      <c r="O16" s="1" t="str">
        <f t="shared" si="2"/>
        <v>Sin evaluar</v>
      </c>
    </row>
    <row r="17" spans="1:15" ht="28.5">
      <c r="A17" s="1" t="s">
        <v>149</v>
      </c>
      <c r="B17" s="1" t="s">
        <v>141</v>
      </c>
      <c r="C17" s="1" t="s">
        <v>142</v>
      </c>
      <c r="D17" s="1" t="s">
        <v>150</v>
      </c>
      <c r="E17" s="1" t="s">
        <v>152</v>
      </c>
      <c r="F17" s="1" t="s">
        <v>154</v>
      </c>
      <c r="G17" s="1" t="s">
        <v>97</v>
      </c>
      <c r="H17" s="1"/>
      <c r="I17" s="1"/>
      <c r="J17" s="1"/>
      <c r="K17" s="1"/>
      <c r="L17" s="1">
        <v>2</v>
      </c>
      <c r="M17" s="4" t="str">
        <f t="shared" si="0"/>
        <v/>
      </c>
      <c r="N17" s="4" t="str">
        <f t="shared" si="1"/>
        <v/>
      </c>
      <c r="O17" s="1" t="str">
        <f t="shared" si="2"/>
        <v>Sin evaluar</v>
      </c>
    </row>
    <row r="18" spans="1:15" ht="28.5">
      <c r="A18" s="1" t="s">
        <v>156</v>
      </c>
      <c r="B18" s="1" t="s">
        <v>141</v>
      </c>
      <c r="C18" s="1" t="s">
        <v>142</v>
      </c>
      <c r="D18" s="1" t="s">
        <v>157</v>
      </c>
      <c r="E18" s="1" t="s">
        <v>159</v>
      </c>
      <c r="F18" s="1" t="s">
        <v>161</v>
      </c>
      <c r="G18" s="1" t="s">
        <v>97</v>
      </c>
      <c r="H18" s="1"/>
      <c r="I18" s="1"/>
      <c r="J18" s="1"/>
      <c r="K18" s="1"/>
      <c r="L18" s="1">
        <v>2</v>
      </c>
      <c r="M18" s="4" t="str">
        <f t="shared" si="0"/>
        <v/>
      </c>
      <c r="N18" s="4" t="str">
        <f t="shared" si="1"/>
        <v/>
      </c>
      <c r="O18" s="1" t="str">
        <f t="shared" si="2"/>
        <v>Sin evaluar</v>
      </c>
    </row>
    <row r="19" spans="1:15" ht="42.75">
      <c r="A19" s="1" t="s">
        <v>163</v>
      </c>
      <c r="B19" s="1" t="s">
        <v>141</v>
      </c>
      <c r="C19" s="1" t="s">
        <v>142</v>
      </c>
      <c r="D19" s="1" t="s">
        <v>164</v>
      </c>
      <c r="E19" s="1" t="s">
        <v>166</v>
      </c>
      <c r="F19" s="1" t="s">
        <v>168</v>
      </c>
      <c r="G19" s="1" t="s">
        <v>67</v>
      </c>
      <c r="H19" s="1"/>
      <c r="I19" s="1"/>
      <c r="J19" s="1"/>
      <c r="K19" s="1"/>
      <c r="L19" s="1">
        <v>3</v>
      </c>
      <c r="M19" s="4" t="str">
        <f t="shared" si="0"/>
        <v/>
      </c>
      <c r="N19" s="4" t="str">
        <f t="shared" si="1"/>
        <v/>
      </c>
      <c r="O19" s="1" t="str">
        <f t="shared" si="2"/>
        <v>Sin evaluar</v>
      </c>
    </row>
    <row r="20" spans="1:15" ht="28.5">
      <c r="A20" s="1" t="s">
        <v>170</v>
      </c>
      <c r="B20" s="1" t="s">
        <v>141</v>
      </c>
      <c r="C20" s="1" t="s">
        <v>142</v>
      </c>
      <c r="D20" s="1" t="s">
        <v>171</v>
      </c>
      <c r="E20" s="1" t="s">
        <v>173</v>
      </c>
      <c r="F20" s="1" t="s">
        <v>175</v>
      </c>
      <c r="G20" s="1" t="s">
        <v>67</v>
      </c>
      <c r="H20" s="1"/>
      <c r="I20" s="1"/>
      <c r="J20" s="1"/>
      <c r="K20" s="1"/>
      <c r="L20" s="1">
        <v>3</v>
      </c>
      <c r="M20" s="4" t="str">
        <f t="shared" si="0"/>
        <v/>
      </c>
      <c r="N20" s="4" t="str">
        <f t="shared" si="1"/>
        <v/>
      </c>
      <c r="O20" s="1" t="str">
        <f t="shared" si="2"/>
        <v>Sin evaluar</v>
      </c>
    </row>
    <row r="21" spans="1:15" ht="28.5">
      <c r="A21" s="1" t="s">
        <v>177</v>
      </c>
      <c r="B21" s="1" t="s">
        <v>141</v>
      </c>
      <c r="C21" s="1" t="s">
        <v>142</v>
      </c>
      <c r="D21" s="1" t="s">
        <v>178</v>
      </c>
      <c r="E21" s="1" t="s">
        <v>180</v>
      </c>
      <c r="F21" s="1" t="s">
        <v>182</v>
      </c>
      <c r="G21" s="1" t="s">
        <v>97</v>
      </c>
      <c r="H21" s="1"/>
      <c r="I21" s="1"/>
      <c r="J21" s="1"/>
      <c r="K21" s="1"/>
      <c r="L21" s="1">
        <v>2</v>
      </c>
      <c r="M21" s="4" t="str">
        <f t="shared" si="0"/>
        <v/>
      </c>
      <c r="N21" s="4" t="str">
        <f t="shared" si="1"/>
        <v/>
      </c>
      <c r="O21" s="1" t="str">
        <f t="shared" si="2"/>
        <v>Sin evaluar</v>
      </c>
    </row>
    <row r="22" spans="1:15" ht="28.5">
      <c r="A22" s="1" t="s">
        <v>184</v>
      </c>
      <c r="B22" s="1" t="s">
        <v>185</v>
      </c>
      <c r="C22" s="1" t="s">
        <v>186</v>
      </c>
      <c r="D22" s="1" t="s">
        <v>187</v>
      </c>
      <c r="E22" s="1" t="s">
        <v>189</v>
      </c>
      <c r="F22" s="1" t="s">
        <v>191</v>
      </c>
      <c r="G22" s="1" t="s">
        <v>67</v>
      </c>
      <c r="H22" s="1"/>
      <c r="I22" s="1"/>
      <c r="J22" s="1"/>
      <c r="K22" s="1"/>
      <c r="L22" s="1">
        <v>3</v>
      </c>
      <c r="M22" s="4" t="str">
        <f t="shared" si="0"/>
        <v/>
      </c>
      <c r="N22" s="4" t="str">
        <f t="shared" si="1"/>
        <v/>
      </c>
      <c r="O22" s="1" t="str">
        <f t="shared" si="2"/>
        <v>Sin evaluar</v>
      </c>
    </row>
    <row r="23" spans="1:15" ht="28.5">
      <c r="A23" s="1" t="s">
        <v>193</v>
      </c>
      <c r="B23" s="1" t="s">
        <v>185</v>
      </c>
      <c r="C23" s="1" t="s">
        <v>186</v>
      </c>
      <c r="D23" s="1" t="s">
        <v>194</v>
      </c>
      <c r="E23" s="1" t="s">
        <v>196</v>
      </c>
      <c r="F23" s="1" t="s">
        <v>198</v>
      </c>
      <c r="G23" s="1" t="s">
        <v>67</v>
      </c>
      <c r="H23" s="1"/>
      <c r="I23" s="1"/>
      <c r="J23" s="1"/>
      <c r="K23" s="1"/>
      <c r="L23" s="1">
        <v>3</v>
      </c>
      <c r="M23" s="4" t="str">
        <f t="shared" si="0"/>
        <v/>
      </c>
      <c r="N23" s="4" t="str">
        <f t="shared" si="1"/>
        <v/>
      </c>
      <c r="O23" s="1" t="str">
        <f t="shared" si="2"/>
        <v>Sin evaluar</v>
      </c>
    </row>
    <row r="24" spans="1:15" ht="28.5">
      <c r="A24" s="1" t="s">
        <v>200</v>
      </c>
      <c r="B24" s="1" t="s">
        <v>185</v>
      </c>
      <c r="C24" s="1" t="s">
        <v>186</v>
      </c>
      <c r="D24" s="1" t="s">
        <v>201</v>
      </c>
      <c r="E24" s="1" t="s">
        <v>203</v>
      </c>
      <c r="F24" s="1" t="s">
        <v>205</v>
      </c>
      <c r="G24" s="1" t="s">
        <v>97</v>
      </c>
      <c r="H24" s="1"/>
      <c r="I24" s="1"/>
      <c r="J24" s="1"/>
      <c r="K24" s="1"/>
      <c r="L24" s="1">
        <v>2</v>
      </c>
      <c r="M24" s="4" t="str">
        <f t="shared" si="0"/>
        <v/>
      </c>
      <c r="N24" s="4" t="str">
        <f t="shared" si="1"/>
        <v/>
      </c>
      <c r="O24" s="1" t="str">
        <f t="shared" si="2"/>
        <v>Sin evaluar</v>
      </c>
    </row>
    <row r="25" spans="1:15" ht="28.5">
      <c r="A25" s="1" t="s">
        <v>206</v>
      </c>
      <c r="B25" s="1" t="s">
        <v>185</v>
      </c>
      <c r="C25" s="1" t="s">
        <v>186</v>
      </c>
      <c r="D25" s="1" t="s">
        <v>207</v>
      </c>
      <c r="E25" s="1" t="s">
        <v>209</v>
      </c>
      <c r="F25" s="1" t="s">
        <v>211</v>
      </c>
      <c r="G25" s="1" t="s">
        <v>67</v>
      </c>
      <c r="H25" s="1"/>
      <c r="I25" s="1"/>
      <c r="J25" s="1"/>
      <c r="K25" s="1"/>
      <c r="L25" s="1">
        <v>3</v>
      </c>
      <c r="M25" s="4" t="str">
        <f t="shared" si="0"/>
        <v/>
      </c>
      <c r="N25" s="4" t="str">
        <f t="shared" si="1"/>
        <v/>
      </c>
      <c r="O25" s="1" t="str">
        <f t="shared" si="2"/>
        <v>Sin evaluar</v>
      </c>
    </row>
    <row r="26" spans="1:15" ht="28.5">
      <c r="A26" s="1" t="s">
        <v>213</v>
      </c>
      <c r="B26" s="1" t="s">
        <v>185</v>
      </c>
      <c r="C26" s="1" t="s">
        <v>186</v>
      </c>
      <c r="D26" s="1" t="s">
        <v>214</v>
      </c>
      <c r="E26" s="1" t="s">
        <v>216</v>
      </c>
      <c r="F26" s="1" t="s">
        <v>218</v>
      </c>
      <c r="G26" s="1" t="s">
        <v>67</v>
      </c>
      <c r="H26" s="1"/>
      <c r="I26" s="1"/>
      <c r="J26" s="1"/>
      <c r="K26" s="1"/>
      <c r="L26" s="1">
        <v>3</v>
      </c>
      <c r="M26" s="4" t="str">
        <f t="shared" si="0"/>
        <v/>
      </c>
      <c r="N26" s="4" t="str">
        <f t="shared" si="1"/>
        <v/>
      </c>
      <c r="O26" s="1" t="str">
        <f t="shared" si="2"/>
        <v>Sin evaluar</v>
      </c>
    </row>
    <row r="27" spans="1:15" ht="28.5">
      <c r="A27" s="1" t="s">
        <v>220</v>
      </c>
      <c r="B27" s="1" t="s">
        <v>185</v>
      </c>
      <c r="C27" s="1" t="s">
        <v>186</v>
      </c>
      <c r="D27" s="1" t="s">
        <v>221</v>
      </c>
      <c r="E27" s="1" t="s">
        <v>223</v>
      </c>
      <c r="F27" s="1" t="s">
        <v>225</v>
      </c>
      <c r="G27" s="1" t="s">
        <v>97</v>
      </c>
      <c r="H27" s="1"/>
      <c r="I27" s="1"/>
      <c r="J27" s="1"/>
      <c r="K27" s="1"/>
      <c r="L27" s="1">
        <v>2</v>
      </c>
      <c r="M27" s="4" t="str">
        <f t="shared" si="0"/>
        <v/>
      </c>
      <c r="N27" s="4" t="str">
        <f t="shared" si="1"/>
        <v/>
      </c>
      <c r="O27" s="1" t="str">
        <f t="shared" si="2"/>
        <v>Sin evaluar</v>
      </c>
    </row>
    <row r="28" spans="1:15" ht="28.5">
      <c r="A28" s="1" t="s">
        <v>227</v>
      </c>
      <c r="B28" s="1" t="s">
        <v>228</v>
      </c>
      <c r="C28" s="1" t="s">
        <v>229</v>
      </c>
      <c r="D28" s="1" t="s">
        <v>230</v>
      </c>
      <c r="E28" s="1" t="s">
        <v>232</v>
      </c>
      <c r="F28" s="1" t="s">
        <v>234</v>
      </c>
      <c r="G28" s="1" t="s">
        <v>67</v>
      </c>
      <c r="H28" s="1"/>
      <c r="I28" s="1"/>
      <c r="J28" s="1"/>
      <c r="K28" s="1"/>
      <c r="L28" s="1">
        <v>3</v>
      </c>
      <c r="M28" s="4" t="str">
        <f t="shared" si="0"/>
        <v/>
      </c>
      <c r="N28" s="4" t="str">
        <f t="shared" si="1"/>
        <v/>
      </c>
      <c r="O28" s="1" t="str">
        <f t="shared" si="2"/>
        <v>Sin evaluar</v>
      </c>
    </row>
    <row r="29" spans="1:15" ht="28.5">
      <c r="A29" s="1" t="s">
        <v>236</v>
      </c>
      <c r="B29" s="1" t="s">
        <v>228</v>
      </c>
      <c r="C29" s="1" t="s">
        <v>229</v>
      </c>
      <c r="D29" s="1" t="s">
        <v>237</v>
      </c>
      <c r="E29" s="1" t="s">
        <v>239</v>
      </c>
      <c r="F29" s="1" t="s">
        <v>241</v>
      </c>
      <c r="G29" s="1" t="s">
        <v>67</v>
      </c>
      <c r="H29" s="1"/>
      <c r="I29" s="1"/>
      <c r="J29" s="1"/>
      <c r="K29" s="1"/>
      <c r="L29" s="1">
        <v>3</v>
      </c>
      <c r="M29" s="4" t="str">
        <f t="shared" si="0"/>
        <v/>
      </c>
      <c r="N29" s="4" t="str">
        <f t="shared" si="1"/>
        <v/>
      </c>
      <c r="O29" s="1" t="str">
        <f t="shared" si="2"/>
        <v>Sin evaluar</v>
      </c>
    </row>
    <row r="30" spans="1:15" ht="28.5">
      <c r="A30" s="1" t="s">
        <v>242</v>
      </c>
      <c r="B30" s="1" t="s">
        <v>228</v>
      </c>
      <c r="C30" s="1" t="s">
        <v>229</v>
      </c>
      <c r="D30" s="1" t="s">
        <v>243</v>
      </c>
      <c r="E30" s="1" t="s">
        <v>245</v>
      </c>
      <c r="F30" s="1" t="s">
        <v>247</v>
      </c>
      <c r="G30" s="1" t="s">
        <v>67</v>
      </c>
      <c r="H30" s="1"/>
      <c r="I30" s="1"/>
      <c r="J30" s="1"/>
      <c r="K30" s="1"/>
      <c r="L30" s="1">
        <v>3</v>
      </c>
      <c r="M30" s="4" t="str">
        <f t="shared" si="0"/>
        <v/>
      </c>
      <c r="N30" s="4" t="str">
        <f t="shared" si="1"/>
        <v/>
      </c>
      <c r="O30" s="1" t="str">
        <f t="shared" si="2"/>
        <v>Sin evaluar</v>
      </c>
    </row>
    <row r="31" spans="1:15" ht="42.75">
      <c r="A31" s="1" t="s">
        <v>249</v>
      </c>
      <c r="B31" s="1" t="s">
        <v>228</v>
      </c>
      <c r="C31" s="1" t="s">
        <v>229</v>
      </c>
      <c r="D31" s="1" t="s">
        <v>250</v>
      </c>
      <c r="E31" s="1" t="s">
        <v>252</v>
      </c>
      <c r="F31" s="1" t="s">
        <v>254</v>
      </c>
      <c r="G31" s="1" t="s">
        <v>67</v>
      </c>
      <c r="H31" s="1"/>
      <c r="I31" s="1"/>
      <c r="J31" s="1"/>
      <c r="K31" s="1"/>
      <c r="L31" s="1">
        <v>3</v>
      </c>
      <c r="M31" s="4" t="str">
        <f t="shared" si="0"/>
        <v/>
      </c>
      <c r="N31" s="4" t="str">
        <f t="shared" si="1"/>
        <v/>
      </c>
      <c r="O31" s="1" t="str">
        <f t="shared" si="2"/>
        <v>Sin evaluar</v>
      </c>
    </row>
    <row r="32" spans="1:15" ht="28.5">
      <c r="A32" s="1" t="s">
        <v>256</v>
      </c>
      <c r="B32" s="1" t="s">
        <v>228</v>
      </c>
      <c r="C32" s="1" t="s">
        <v>229</v>
      </c>
      <c r="D32" s="1" t="s">
        <v>257</v>
      </c>
      <c r="E32" s="1" t="s">
        <v>259</v>
      </c>
      <c r="F32" s="1" t="s">
        <v>261</v>
      </c>
      <c r="G32" s="1" t="s">
        <v>97</v>
      </c>
      <c r="H32" s="1"/>
      <c r="I32" s="1"/>
      <c r="J32" s="1"/>
      <c r="K32" s="1"/>
      <c r="L32" s="1">
        <v>2</v>
      </c>
      <c r="M32" s="4" t="str">
        <f t="shared" si="0"/>
        <v/>
      </c>
      <c r="N32" s="4" t="str">
        <f t="shared" si="1"/>
        <v/>
      </c>
      <c r="O32" s="1" t="str">
        <f t="shared" si="2"/>
        <v>Sin evaluar</v>
      </c>
    </row>
    <row r="33" spans="1:15" ht="28.5">
      <c r="A33" s="1" t="s">
        <v>263</v>
      </c>
      <c r="B33" s="1" t="s">
        <v>228</v>
      </c>
      <c r="C33" s="1" t="s">
        <v>229</v>
      </c>
      <c r="D33" s="1" t="s">
        <v>264</v>
      </c>
      <c r="E33" s="1" t="s">
        <v>266</v>
      </c>
      <c r="F33" s="1" t="s">
        <v>268</v>
      </c>
      <c r="G33" s="1" t="s">
        <v>67</v>
      </c>
      <c r="H33" s="1"/>
      <c r="I33" s="1"/>
      <c r="J33" s="1"/>
      <c r="K33" s="1"/>
      <c r="L33" s="1">
        <v>3</v>
      </c>
      <c r="M33" s="4" t="str">
        <f t="shared" si="0"/>
        <v/>
      </c>
      <c r="N33" s="4" t="str">
        <f t="shared" si="1"/>
        <v/>
      </c>
      <c r="O33" s="1" t="str">
        <f t="shared" si="2"/>
        <v>Sin evaluar</v>
      </c>
    </row>
    <row r="34" spans="1:15" ht="28.5">
      <c r="A34" s="1" t="s">
        <v>270</v>
      </c>
      <c r="B34" s="1" t="s">
        <v>271</v>
      </c>
      <c r="C34" s="1" t="s">
        <v>272</v>
      </c>
      <c r="D34" s="1" t="s">
        <v>273</v>
      </c>
      <c r="E34" s="1" t="s">
        <v>275</v>
      </c>
      <c r="F34" s="1" t="s">
        <v>277</v>
      </c>
      <c r="G34" s="1" t="s">
        <v>67</v>
      </c>
      <c r="H34" s="1"/>
      <c r="I34" s="1"/>
      <c r="J34" s="1"/>
      <c r="K34" s="1"/>
      <c r="L34" s="1">
        <v>3</v>
      </c>
      <c r="M34" s="4" t="str">
        <f t="shared" si="0"/>
        <v/>
      </c>
      <c r="N34" s="4" t="str">
        <f t="shared" si="1"/>
        <v/>
      </c>
      <c r="O34" s="1" t="str">
        <f t="shared" si="2"/>
        <v>Sin evaluar</v>
      </c>
    </row>
    <row r="35" spans="1:15" ht="28.5">
      <c r="A35" s="1" t="s">
        <v>279</v>
      </c>
      <c r="B35" s="1" t="s">
        <v>271</v>
      </c>
      <c r="C35" s="1" t="s">
        <v>272</v>
      </c>
      <c r="D35" s="1" t="s">
        <v>280</v>
      </c>
      <c r="E35" s="1" t="s">
        <v>282</v>
      </c>
      <c r="F35" s="1" t="s">
        <v>284</v>
      </c>
      <c r="G35" s="1" t="s">
        <v>67</v>
      </c>
      <c r="H35" s="1"/>
      <c r="I35" s="1"/>
      <c r="J35" s="1"/>
      <c r="K35" s="1"/>
      <c r="L35" s="1">
        <v>3</v>
      </c>
      <c r="M35" s="4" t="str">
        <f t="shared" si="0"/>
        <v/>
      </c>
      <c r="N35" s="4" t="str">
        <f t="shared" si="1"/>
        <v/>
      </c>
      <c r="O35" s="1" t="str">
        <f t="shared" si="2"/>
        <v>Sin evaluar</v>
      </c>
    </row>
    <row r="36" spans="1:15" ht="28.5">
      <c r="A36" s="1" t="s">
        <v>286</v>
      </c>
      <c r="B36" s="1" t="s">
        <v>271</v>
      </c>
      <c r="C36" s="1" t="s">
        <v>272</v>
      </c>
      <c r="D36" s="1" t="s">
        <v>287</v>
      </c>
      <c r="E36" s="1" t="s">
        <v>289</v>
      </c>
      <c r="F36" s="1" t="s">
        <v>291</v>
      </c>
      <c r="G36" s="1" t="s">
        <v>67</v>
      </c>
      <c r="H36" s="1"/>
      <c r="I36" s="1"/>
      <c r="J36" s="1"/>
      <c r="K36" s="1"/>
      <c r="L36" s="1">
        <v>3</v>
      </c>
      <c r="M36" s="4" t="str">
        <f t="shared" si="0"/>
        <v/>
      </c>
      <c r="N36" s="4" t="str">
        <f t="shared" si="1"/>
        <v/>
      </c>
      <c r="O36" s="1" t="str">
        <f t="shared" si="2"/>
        <v>Sin evaluar</v>
      </c>
    </row>
    <row r="37" spans="1:15" ht="28.5">
      <c r="A37" s="1" t="s">
        <v>293</v>
      </c>
      <c r="B37" s="1" t="s">
        <v>271</v>
      </c>
      <c r="C37" s="1" t="s">
        <v>294</v>
      </c>
      <c r="D37" s="1" t="s">
        <v>295</v>
      </c>
      <c r="E37" s="1" t="s">
        <v>297</v>
      </c>
      <c r="F37" s="1" t="s">
        <v>299</v>
      </c>
      <c r="G37" s="1" t="s">
        <v>67</v>
      </c>
      <c r="H37" s="1"/>
      <c r="I37" s="1"/>
      <c r="J37" s="1"/>
      <c r="K37" s="1"/>
      <c r="L37" s="1">
        <v>3</v>
      </c>
      <c r="M37" s="4" t="str">
        <f t="shared" ref="M37:M67" si="3">IF(H37="Cumple",100,IF(H37="Parcial",50,IF(H37="No cumple",0,"")))</f>
        <v/>
      </c>
      <c r="N37" s="4" t="str">
        <f t="shared" ref="N37:N68" si="4">IF(M37="","",M37*L37)</f>
        <v/>
      </c>
      <c r="O37" s="1" t="str">
        <f t="shared" ref="O37:O67" si="5">IF(M37="","Sin evaluar",IF(M37=100,"Acepta",IF(M37=50,"Requiere aclaración","No cumple")))</f>
        <v>Sin evaluar</v>
      </c>
    </row>
    <row r="38" spans="1:15" ht="28.5">
      <c r="A38" s="1" t="s">
        <v>300</v>
      </c>
      <c r="B38" s="1" t="s">
        <v>271</v>
      </c>
      <c r="C38" s="1" t="s">
        <v>294</v>
      </c>
      <c r="D38" s="1" t="s">
        <v>301</v>
      </c>
      <c r="E38" s="1" t="s">
        <v>303</v>
      </c>
      <c r="F38" s="1" t="s">
        <v>305</v>
      </c>
      <c r="G38" s="1" t="s">
        <v>97</v>
      </c>
      <c r="H38" s="1"/>
      <c r="I38" s="1"/>
      <c r="J38" s="1"/>
      <c r="K38" s="1"/>
      <c r="L38" s="1">
        <v>2</v>
      </c>
      <c r="M38" s="4" t="str">
        <f t="shared" si="3"/>
        <v/>
      </c>
      <c r="N38" s="4" t="str">
        <f t="shared" si="4"/>
        <v/>
      </c>
      <c r="O38" s="1" t="str">
        <f t="shared" si="5"/>
        <v>Sin evaluar</v>
      </c>
    </row>
    <row r="39" spans="1:15" ht="28.5">
      <c r="A39" s="1" t="s">
        <v>307</v>
      </c>
      <c r="B39" s="1" t="s">
        <v>271</v>
      </c>
      <c r="C39" s="1" t="s">
        <v>272</v>
      </c>
      <c r="D39" s="1" t="s">
        <v>308</v>
      </c>
      <c r="E39" s="1" t="s">
        <v>310</v>
      </c>
      <c r="F39" s="1" t="s">
        <v>312</v>
      </c>
      <c r="G39" s="1" t="s">
        <v>67</v>
      </c>
      <c r="H39" s="1"/>
      <c r="I39" s="1"/>
      <c r="J39" s="1"/>
      <c r="K39" s="1"/>
      <c r="L39" s="1">
        <v>3</v>
      </c>
      <c r="M39" s="4" t="str">
        <f t="shared" si="3"/>
        <v/>
      </c>
      <c r="N39" s="4" t="str">
        <f t="shared" si="4"/>
        <v/>
      </c>
      <c r="O39" s="1" t="str">
        <f t="shared" si="5"/>
        <v>Sin evaluar</v>
      </c>
    </row>
    <row r="40" spans="1:15" ht="28.5">
      <c r="A40" s="1" t="s">
        <v>314</v>
      </c>
      <c r="B40" s="1" t="s">
        <v>315</v>
      </c>
      <c r="C40" s="1" t="s">
        <v>316</v>
      </c>
      <c r="D40" s="1" t="s">
        <v>317</v>
      </c>
      <c r="E40" s="1" t="s">
        <v>319</v>
      </c>
      <c r="F40" s="1" t="s">
        <v>321</v>
      </c>
      <c r="G40" s="1" t="s">
        <v>67</v>
      </c>
      <c r="H40" s="1"/>
      <c r="I40" s="1"/>
      <c r="J40" s="1"/>
      <c r="K40" s="1"/>
      <c r="L40" s="1">
        <v>3</v>
      </c>
      <c r="M40" s="4" t="str">
        <f t="shared" si="3"/>
        <v/>
      </c>
      <c r="N40" s="4" t="str">
        <f t="shared" si="4"/>
        <v/>
      </c>
      <c r="O40" s="1" t="str">
        <f t="shared" si="5"/>
        <v>Sin evaluar</v>
      </c>
    </row>
    <row r="41" spans="1:15" ht="28.5">
      <c r="A41" s="1" t="s">
        <v>322</v>
      </c>
      <c r="B41" s="1" t="s">
        <v>315</v>
      </c>
      <c r="C41" s="1" t="s">
        <v>316</v>
      </c>
      <c r="D41" s="1" t="s">
        <v>323</v>
      </c>
      <c r="E41" s="1" t="s">
        <v>325</v>
      </c>
      <c r="F41" s="1" t="s">
        <v>327</v>
      </c>
      <c r="G41" s="1" t="s">
        <v>67</v>
      </c>
      <c r="H41" s="1"/>
      <c r="I41" s="1"/>
      <c r="J41" s="1"/>
      <c r="K41" s="1"/>
      <c r="L41" s="1">
        <v>3</v>
      </c>
      <c r="M41" s="4" t="str">
        <f t="shared" si="3"/>
        <v/>
      </c>
      <c r="N41" s="4" t="str">
        <f t="shared" si="4"/>
        <v/>
      </c>
      <c r="O41" s="1" t="str">
        <f t="shared" si="5"/>
        <v>Sin evaluar</v>
      </c>
    </row>
    <row r="42" spans="1:15" ht="28.5">
      <c r="A42" s="1" t="s">
        <v>328</v>
      </c>
      <c r="B42" s="1" t="s">
        <v>315</v>
      </c>
      <c r="C42" s="1" t="s">
        <v>316</v>
      </c>
      <c r="D42" s="1" t="s">
        <v>329</v>
      </c>
      <c r="E42" s="1" t="s">
        <v>331</v>
      </c>
      <c r="F42" s="1" t="s">
        <v>333</v>
      </c>
      <c r="G42" s="1" t="s">
        <v>67</v>
      </c>
      <c r="H42" s="1"/>
      <c r="I42" s="1"/>
      <c r="J42" s="1"/>
      <c r="K42" s="1"/>
      <c r="L42" s="1">
        <v>3</v>
      </c>
      <c r="M42" s="4" t="str">
        <f t="shared" si="3"/>
        <v/>
      </c>
      <c r="N42" s="4" t="str">
        <f t="shared" si="4"/>
        <v/>
      </c>
      <c r="O42" s="1" t="str">
        <f t="shared" si="5"/>
        <v>Sin evaluar</v>
      </c>
    </row>
    <row r="43" spans="1:15" ht="28.5">
      <c r="A43" s="1" t="s">
        <v>334</v>
      </c>
      <c r="B43" s="1" t="s">
        <v>315</v>
      </c>
      <c r="C43" s="1" t="s">
        <v>316</v>
      </c>
      <c r="D43" s="1" t="s">
        <v>335</v>
      </c>
      <c r="E43" s="1" t="s">
        <v>337</v>
      </c>
      <c r="F43" s="1" t="s">
        <v>339</v>
      </c>
      <c r="G43" s="1" t="s">
        <v>67</v>
      </c>
      <c r="H43" s="1"/>
      <c r="I43" s="1"/>
      <c r="J43" s="1"/>
      <c r="K43" s="1"/>
      <c r="L43" s="1">
        <v>3</v>
      </c>
      <c r="M43" s="4" t="str">
        <f t="shared" si="3"/>
        <v/>
      </c>
      <c r="N43" s="4" t="str">
        <f t="shared" si="4"/>
        <v/>
      </c>
      <c r="O43" s="1" t="str">
        <f t="shared" si="5"/>
        <v>Sin evaluar</v>
      </c>
    </row>
    <row r="44" spans="1:15" ht="28.5">
      <c r="A44" s="1" t="s">
        <v>341</v>
      </c>
      <c r="B44" s="1" t="s">
        <v>315</v>
      </c>
      <c r="C44" s="1" t="s">
        <v>316</v>
      </c>
      <c r="D44" s="1" t="s">
        <v>342</v>
      </c>
      <c r="E44" s="1" t="s">
        <v>344</v>
      </c>
      <c r="F44" s="1" t="s">
        <v>346</v>
      </c>
      <c r="G44" s="1" t="s">
        <v>67</v>
      </c>
      <c r="H44" s="1"/>
      <c r="I44" s="1"/>
      <c r="J44" s="1"/>
      <c r="K44" s="1"/>
      <c r="L44" s="1">
        <v>3</v>
      </c>
      <c r="M44" s="4" t="str">
        <f t="shared" si="3"/>
        <v/>
      </c>
      <c r="N44" s="4" t="str">
        <f t="shared" si="4"/>
        <v/>
      </c>
      <c r="O44" s="1" t="str">
        <f t="shared" si="5"/>
        <v>Sin evaluar</v>
      </c>
    </row>
    <row r="45" spans="1:15" ht="28.5">
      <c r="A45" s="1" t="s">
        <v>347</v>
      </c>
      <c r="B45" s="1" t="s">
        <v>348</v>
      </c>
      <c r="C45" s="1" t="s">
        <v>349</v>
      </c>
      <c r="D45" s="1" t="s">
        <v>350</v>
      </c>
      <c r="E45" s="1" t="s">
        <v>352</v>
      </c>
      <c r="F45" s="1" t="s">
        <v>354</v>
      </c>
      <c r="G45" s="1" t="s">
        <v>67</v>
      </c>
      <c r="H45" s="1"/>
      <c r="I45" s="1"/>
      <c r="J45" s="1"/>
      <c r="K45" s="1"/>
      <c r="L45" s="1">
        <v>3</v>
      </c>
      <c r="M45" s="4" t="str">
        <f t="shared" si="3"/>
        <v/>
      </c>
      <c r="N45" s="4" t="str">
        <f t="shared" si="4"/>
        <v/>
      </c>
      <c r="O45" s="1" t="str">
        <f t="shared" si="5"/>
        <v>Sin evaluar</v>
      </c>
    </row>
    <row r="46" spans="1:15" ht="28.5">
      <c r="A46" s="1" t="s">
        <v>356</v>
      </c>
      <c r="B46" s="1" t="s">
        <v>348</v>
      </c>
      <c r="C46" s="1" t="s">
        <v>349</v>
      </c>
      <c r="D46" s="1" t="s">
        <v>357</v>
      </c>
      <c r="E46" s="1" t="s">
        <v>359</v>
      </c>
      <c r="F46" s="1" t="s">
        <v>361</v>
      </c>
      <c r="G46" s="1" t="s">
        <v>97</v>
      </c>
      <c r="H46" s="1"/>
      <c r="I46" s="1"/>
      <c r="J46" s="1"/>
      <c r="K46" s="1"/>
      <c r="L46" s="1">
        <v>2</v>
      </c>
      <c r="M46" s="4" t="str">
        <f t="shared" si="3"/>
        <v/>
      </c>
      <c r="N46" s="4" t="str">
        <f t="shared" si="4"/>
        <v/>
      </c>
      <c r="O46" s="1" t="str">
        <f t="shared" si="5"/>
        <v>Sin evaluar</v>
      </c>
    </row>
    <row r="47" spans="1:15" ht="28.5">
      <c r="A47" s="1" t="s">
        <v>362</v>
      </c>
      <c r="B47" s="1" t="s">
        <v>348</v>
      </c>
      <c r="C47" s="1" t="s">
        <v>349</v>
      </c>
      <c r="D47" s="1" t="s">
        <v>363</v>
      </c>
      <c r="E47" s="1" t="s">
        <v>365</v>
      </c>
      <c r="F47" s="1" t="s">
        <v>367</v>
      </c>
      <c r="G47" s="1" t="s">
        <v>67</v>
      </c>
      <c r="H47" s="1"/>
      <c r="I47" s="1"/>
      <c r="J47" s="1"/>
      <c r="K47" s="1"/>
      <c r="L47" s="1">
        <v>3</v>
      </c>
      <c r="M47" s="4" t="str">
        <f t="shared" si="3"/>
        <v/>
      </c>
      <c r="N47" s="4" t="str">
        <f t="shared" si="4"/>
        <v/>
      </c>
      <c r="O47" s="1" t="str">
        <f t="shared" si="5"/>
        <v>Sin evaluar</v>
      </c>
    </row>
    <row r="48" spans="1:15" ht="28.5">
      <c r="A48" s="1" t="s">
        <v>369</v>
      </c>
      <c r="B48" s="1" t="s">
        <v>348</v>
      </c>
      <c r="C48" s="1" t="s">
        <v>349</v>
      </c>
      <c r="D48" s="1" t="s">
        <v>370</v>
      </c>
      <c r="E48" s="1" t="s">
        <v>372</v>
      </c>
      <c r="F48" s="1" t="s">
        <v>374</v>
      </c>
      <c r="G48" s="1" t="s">
        <v>67</v>
      </c>
      <c r="H48" s="1"/>
      <c r="I48" s="1"/>
      <c r="J48" s="1"/>
      <c r="K48" s="1"/>
      <c r="L48" s="1">
        <v>3</v>
      </c>
      <c r="M48" s="4" t="str">
        <f t="shared" si="3"/>
        <v/>
      </c>
      <c r="N48" s="4" t="str">
        <f t="shared" si="4"/>
        <v/>
      </c>
      <c r="O48" s="1" t="str">
        <f t="shared" si="5"/>
        <v>Sin evaluar</v>
      </c>
    </row>
    <row r="49" spans="1:15" ht="28.5">
      <c r="A49" s="1" t="s">
        <v>375</v>
      </c>
      <c r="B49" s="1" t="s">
        <v>348</v>
      </c>
      <c r="C49" s="1" t="s">
        <v>349</v>
      </c>
      <c r="D49" s="1" t="s">
        <v>376</v>
      </c>
      <c r="E49" s="1" t="s">
        <v>378</v>
      </c>
      <c r="F49" s="1" t="s">
        <v>380</v>
      </c>
      <c r="G49" s="1" t="s">
        <v>97</v>
      </c>
      <c r="H49" s="1"/>
      <c r="I49" s="1"/>
      <c r="J49" s="1"/>
      <c r="K49" s="1"/>
      <c r="L49" s="1">
        <v>2</v>
      </c>
      <c r="M49" s="4" t="str">
        <f t="shared" si="3"/>
        <v/>
      </c>
      <c r="N49" s="4" t="str">
        <f t="shared" si="4"/>
        <v/>
      </c>
      <c r="O49" s="1" t="str">
        <f t="shared" si="5"/>
        <v>Sin evaluar</v>
      </c>
    </row>
    <row r="50" spans="1:15" ht="28.5">
      <c r="A50" s="1" t="s">
        <v>381</v>
      </c>
      <c r="B50" s="1" t="s">
        <v>382</v>
      </c>
      <c r="C50" s="1" t="s">
        <v>383</v>
      </c>
      <c r="D50" s="1" t="s">
        <v>384</v>
      </c>
      <c r="E50" s="1" t="s">
        <v>386</v>
      </c>
      <c r="F50" s="1" t="s">
        <v>388</v>
      </c>
      <c r="G50" s="1" t="s">
        <v>67</v>
      </c>
      <c r="H50" s="1"/>
      <c r="I50" s="1"/>
      <c r="J50" s="1"/>
      <c r="K50" s="1"/>
      <c r="L50" s="1">
        <v>3</v>
      </c>
      <c r="M50" s="4" t="str">
        <f t="shared" si="3"/>
        <v/>
      </c>
      <c r="N50" s="4" t="str">
        <f t="shared" si="4"/>
        <v/>
      </c>
      <c r="O50" s="1" t="str">
        <f t="shared" si="5"/>
        <v>Sin evaluar</v>
      </c>
    </row>
    <row r="51" spans="1:15" ht="28.5">
      <c r="A51" s="1" t="s">
        <v>390</v>
      </c>
      <c r="B51" s="1" t="s">
        <v>382</v>
      </c>
      <c r="C51" s="1" t="s">
        <v>391</v>
      </c>
      <c r="D51" s="1" t="s">
        <v>392</v>
      </c>
      <c r="E51" s="1" t="s">
        <v>394</v>
      </c>
      <c r="F51" s="1" t="s">
        <v>396</v>
      </c>
      <c r="G51" s="1" t="s">
        <v>67</v>
      </c>
      <c r="H51" s="1"/>
      <c r="I51" s="1"/>
      <c r="J51" s="1"/>
      <c r="K51" s="1"/>
      <c r="L51" s="1">
        <v>3</v>
      </c>
      <c r="M51" s="4" t="str">
        <f t="shared" si="3"/>
        <v/>
      </c>
      <c r="N51" s="4" t="str">
        <f t="shared" si="4"/>
        <v/>
      </c>
      <c r="O51" s="1" t="str">
        <f t="shared" si="5"/>
        <v>Sin evaluar</v>
      </c>
    </row>
    <row r="52" spans="1:15" ht="28.5">
      <c r="A52" s="1" t="s">
        <v>398</v>
      </c>
      <c r="B52" s="1" t="s">
        <v>382</v>
      </c>
      <c r="C52" s="1" t="s">
        <v>383</v>
      </c>
      <c r="D52" s="1" t="s">
        <v>399</v>
      </c>
      <c r="E52" s="1" t="s">
        <v>401</v>
      </c>
      <c r="F52" s="1" t="s">
        <v>403</v>
      </c>
      <c r="G52" s="1" t="s">
        <v>97</v>
      </c>
      <c r="H52" s="1"/>
      <c r="I52" s="1"/>
      <c r="J52" s="1"/>
      <c r="K52" s="1"/>
      <c r="L52" s="1">
        <v>2</v>
      </c>
      <c r="M52" s="4" t="str">
        <f t="shared" si="3"/>
        <v/>
      </c>
      <c r="N52" s="4" t="str">
        <f t="shared" si="4"/>
        <v/>
      </c>
      <c r="O52" s="1" t="str">
        <f t="shared" si="5"/>
        <v>Sin evaluar</v>
      </c>
    </row>
    <row r="53" spans="1:15" ht="28.5">
      <c r="A53" s="1" t="s">
        <v>404</v>
      </c>
      <c r="B53" s="1" t="s">
        <v>382</v>
      </c>
      <c r="C53" s="1" t="s">
        <v>383</v>
      </c>
      <c r="D53" s="1" t="s">
        <v>405</v>
      </c>
      <c r="E53" s="1" t="s">
        <v>407</v>
      </c>
      <c r="F53" s="1" t="s">
        <v>409</v>
      </c>
      <c r="G53" s="1" t="s">
        <v>67</v>
      </c>
      <c r="H53" s="1"/>
      <c r="I53" s="1"/>
      <c r="J53" s="1"/>
      <c r="K53" s="1"/>
      <c r="L53" s="1">
        <v>3</v>
      </c>
      <c r="M53" s="4" t="str">
        <f t="shared" si="3"/>
        <v/>
      </c>
      <c r="N53" s="4" t="str">
        <f t="shared" si="4"/>
        <v/>
      </c>
      <c r="O53" s="1" t="str">
        <f t="shared" si="5"/>
        <v>Sin evaluar</v>
      </c>
    </row>
    <row r="54" spans="1:15" ht="28.5">
      <c r="A54" s="1" t="s">
        <v>410</v>
      </c>
      <c r="B54" s="1" t="s">
        <v>411</v>
      </c>
      <c r="C54" s="1" t="s">
        <v>412</v>
      </c>
      <c r="D54" s="1" t="s">
        <v>413</v>
      </c>
      <c r="E54" s="1" t="s">
        <v>415</v>
      </c>
      <c r="F54" s="1" t="s">
        <v>417</v>
      </c>
      <c r="G54" s="1" t="s">
        <v>67</v>
      </c>
      <c r="H54" s="1"/>
      <c r="I54" s="1"/>
      <c r="J54" s="1"/>
      <c r="K54" s="1"/>
      <c r="L54" s="1">
        <v>3</v>
      </c>
      <c r="M54" s="4" t="str">
        <f t="shared" si="3"/>
        <v/>
      </c>
      <c r="N54" s="4" t="str">
        <f t="shared" si="4"/>
        <v/>
      </c>
      <c r="O54" s="1" t="str">
        <f t="shared" si="5"/>
        <v>Sin evaluar</v>
      </c>
    </row>
    <row r="55" spans="1:15" ht="28.5">
      <c r="A55" s="1" t="s">
        <v>419</v>
      </c>
      <c r="B55" s="1" t="s">
        <v>411</v>
      </c>
      <c r="C55" s="1" t="s">
        <v>412</v>
      </c>
      <c r="D55" s="1" t="s">
        <v>420</v>
      </c>
      <c r="E55" s="1" t="s">
        <v>422</v>
      </c>
      <c r="F55" s="1" t="s">
        <v>424</v>
      </c>
      <c r="G55" s="1" t="s">
        <v>97</v>
      </c>
      <c r="H55" s="1"/>
      <c r="I55" s="1"/>
      <c r="J55" s="1"/>
      <c r="K55" s="1"/>
      <c r="L55" s="1">
        <v>2</v>
      </c>
      <c r="M55" s="4" t="str">
        <f t="shared" si="3"/>
        <v/>
      </c>
      <c r="N55" s="4" t="str">
        <f t="shared" si="4"/>
        <v/>
      </c>
      <c r="O55" s="1" t="str">
        <f t="shared" si="5"/>
        <v>Sin evaluar</v>
      </c>
    </row>
    <row r="56" spans="1:15" ht="28.5">
      <c r="A56" s="1" t="s">
        <v>426</v>
      </c>
      <c r="B56" s="1" t="s">
        <v>411</v>
      </c>
      <c r="C56" s="1" t="s">
        <v>427</v>
      </c>
      <c r="D56" s="1" t="s">
        <v>428</v>
      </c>
      <c r="E56" s="1" t="s">
        <v>430</v>
      </c>
      <c r="F56" s="1" t="s">
        <v>432</v>
      </c>
      <c r="G56" s="1" t="s">
        <v>97</v>
      </c>
      <c r="H56" s="1"/>
      <c r="I56" s="1"/>
      <c r="J56" s="1"/>
      <c r="K56" s="1"/>
      <c r="L56" s="1">
        <v>2</v>
      </c>
      <c r="M56" s="4" t="str">
        <f t="shared" si="3"/>
        <v/>
      </c>
      <c r="N56" s="4" t="str">
        <f t="shared" si="4"/>
        <v/>
      </c>
      <c r="O56" s="1" t="str">
        <f t="shared" si="5"/>
        <v>Sin evaluar</v>
      </c>
    </row>
    <row r="57" spans="1:15" ht="28.5">
      <c r="A57" s="1" t="s">
        <v>433</v>
      </c>
      <c r="B57" s="1" t="s">
        <v>411</v>
      </c>
      <c r="C57" s="1" t="s">
        <v>412</v>
      </c>
      <c r="D57" s="1" t="s">
        <v>434</v>
      </c>
      <c r="E57" s="1" t="s">
        <v>436</v>
      </c>
      <c r="F57" s="1" t="s">
        <v>438</v>
      </c>
      <c r="G57" s="1" t="s">
        <v>97</v>
      </c>
      <c r="H57" s="1"/>
      <c r="I57" s="1"/>
      <c r="J57" s="1"/>
      <c r="K57" s="1"/>
      <c r="L57" s="1">
        <v>2</v>
      </c>
      <c r="M57" s="4" t="str">
        <f t="shared" si="3"/>
        <v/>
      </c>
      <c r="N57" s="4" t="str">
        <f t="shared" si="4"/>
        <v/>
      </c>
      <c r="O57" s="1" t="str">
        <f t="shared" si="5"/>
        <v>Sin evaluar</v>
      </c>
    </row>
    <row r="58" spans="1:15" ht="28.5">
      <c r="A58" s="1" t="s">
        <v>439</v>
      </c>
      <c r="B58" s="1" t="s">
        <v>440</v>
      </c>
      <c r="C58" s="1" t="s">
        <v>441</v>
      </c>
      <c r="D58" s="1" t="s">
        <v>442</v>
      </c>
      <c r="E58" s="1" t="s">
        <v>444</v>
      </c>
      <c r="F58" s="1" t="s">
        <v>446</v>
      </c>
      <c r="G58" s="1" t="s">
        <v>67</v>
      </c>
      <c r="H58" s="1"/>
      <c r="I58" s="1"/>
      <c r="J58" s="1"/>
      <c r="K58" s="1"/>
      <c r="L58" s="1">
        <v>3</v>
      </c>
      <c r="M58" s="4" t="str">
        <f t="shared" si="3"/>
        <v/>
      </c>
      <c r="N58" s="4" t="str">
        <f t="shared" si="4"/>
        <v/>
      </c>
      <c r="O58" s="1" t="str">
        <f t="shared" si="5"/>
        <v>Sin evaluar</v>
      </c>
    </row>
    <row r="59" spans="1:15" ht="28.5">
      <c r="A59" s="1" t="s">
        <v>448</v>
      </c>
      <c r="B59" s="1" t="s">
        <v>440</v>
      </c>
      <c r="C59" s="1" t="s">
        <v>441</v>
      </c>
      <c r="D59" s="1" t="s">
        <v>449</v>
      </c>
      <c r="E59" s="1" t="s">
        <v>451</v>
      </c>
      <c r="F59" s="1" t="s">
        <v>453</v>
      </c>
      <c r="G59" s="1" t="s">
        <v>67</v>
      </c>
      <c r="H59" s="1"/>
      <c r="I59" s="1"/>
      <c r="J59" s="1"/>
      <c r="K59" s="1"/>
      <c r="L59" s="1">
        <v>3</v>
      </c>
      <c r="M59" s="4" t="str">
        <f t="shared" si="3"/>
        <v/>
      </c>
      <c r="N59" s="4" t="str">
        <f t="shared" si="4"/>
        <v/>
      </c>
      <c r="O59" s="1" t="str">
        <f t="shared" si="5"/>
        <v>Sin evaluar</v>
      </c>
    </row>
    <row r="60" spans="1:15" ht="28.5">
      <c r="A60" s="1" t="s">
        <v>455</v>
      </c>
      <c r="B60" s="1" t="s">
        <v>440</v>
      </c>
      <c r="C60" s="1" t="s">
        <v>456</v>
      </c>
      <c r="D60" s="1" t="s">
        <v>457</v>
      </c>
      <c r="E60" s="1" t="s">
        <v>459</v>
      </c>
      <c r="F60" s="1" t="s">
        <v>461</v>
      </c>
      <c r="G60" s="1" t="s">
        <v>97</v>
      </c>
      <c r="H60" s="1"/>
      <c r="I60" s="1"/>
      <c r="J60" s="1"/>
      <c r="K60" s="1"/>
      <c r="L60" s="1">
        <v>2</v>
      </c>
      <c r="M60" s="4" t="str">
        <f t="shared" si="3"/>
        <v/>
      </c>
      <c r="N60" s="4" t="str">
        <f t="shared" si="4"/>
        <v/>
      </c>
      <c r="O60" s="1" t="str">
        <f t="shared" si="5"/>
        <v>Sin evaluar</v>
      </c>
    </row>
    <row r="61" spans="1:15" ht="28.5">
      <c r="A61" s="1" t="s">
        <v>462</v>
      </c>
      <c r="B61" s="1" t="s">
        <v>440</v>
      </c>
      <c r="C61" s="1" t="s">
        <v>463</v>
      </c>
      <c r="D61" s="1" t="s">
        <v>464</v>
      </c>
      <c r="E61" s="1" t="s">
        <v>466</v>
      </c>
      <c r="F61" s="1" t="s">
        <v>468</v>
      </c>
      <c r="G61" s="1" t="s">
        <v>67</v>
      </c>
      <c r="H61" s="1"/>
      <c r="I61" s="1"/>
      <c r="J61" s="1"/>
      <c r="K61" s="1"/>
      <c r="L61" s="1">
        <v>3</v>
      </c>
      <c r="M61" s="4" t="str">
        <f t="shared" si="3"/>
        <v/>
      </c>
      <c r="N61" s="4" t="str">
        <f t="shared" si="4"/>
        <v/>
      </c>
      <c r="O61" s="1" t="str">
        <f t="shared" si="5"/>
        <v>Sin evaluar</v>
      </c>
    </row>
    <row r="62" spans="1:15" ht="28.5">
      <c r="A62" s="1" t="s">
        <v>469</v>
      </c>
      <c r="B62" s="1" t="s">
        <v>440</v>
      </c>
      <c r="C62" s="1" t="s">
        <v>463</v>
      </c>
      <c r="D62" s="1" t="s">
        <v>470</v>
      </c>
      <c r="E62" s="1" t="s">
        <v>472</v>
      </c>
      <c r="F62" s="1" t="s">
        <v>474</v>
      </c>
      <c r="G62" s="1" t="s">
        <v>97</v>
      </c>
      <c r="H62" s="1"/>
      <c r="I62" s="1"/>
      <c r="J62" s="1"/>
      <c r="K62" s="1"/>
      <c r="L62" s="1">
        <v>2</v>
      </c>
      <c r="M62" s="4" t="str">
        <f t="shared" si="3"/>
        <v/>
      </c>
      <c r="N62" s="4" t="str">
        <f t="shared" si="4"/>
        <v/>
      </c>
      <c r="O62" s="1" t="str">
        <f t="shared" si="5"/>
        <v>Sin evaluar</v>
      </c>
    </row>
    <row r="63" spans="1:15" ht="28.5">
      <c r="A63" s="1" t="s">
        <v>475</v>
      </c>
      <c r="B63" s="1" t="s">
        <v>476</v>
      </c>
      <c r="C63" s="1" t="s">
        <v>477</v>
      </c>
      <c r="D63" s="1" t="s">
        <v>478</v>
      </c>
      <c r="E63" s="1" t="s">
        <v>480</v>
      </c>
      <c r="F63" s="1" t="s">
        <v>482</v>
      </c>
      <c r="G63" s="1" t="s">
        <v>67</v>
      </c>
      <c r="H63" s="1"/>
      <c r="I63" s="1"/>
      <c r="J63" s="1"/>
      <c r="K63" s="1"/>
      <c r="L63" s="1">
        <v>3</v>
      </c>
      <c r="M63" s="4" t="str">
        <f t="shared" si="3"/>
        <v/>
      </c>
      <c r="N63" s="4" t="str">
        <f t="shared" si="4"/>
        <v/>
      </c>
      <c r="O63" s="1" t="str">
        <f t="shared" si="5"/>
        <v>Sin evaluar</v>
      </c>
    </row>
    <row r="64" spans="1:15" ht="28.5">
      <c r="A64" s="1" t="s">
        <v>483</v>
      </c>
      <c r="B64" s="1" t="s">
        <v>476</v>
      </c>
      <c r="C64" s="1" t="s">
        <v>477</v>
      </c>
      <c r="D64" s="1" t="s">
        <v>484</v>
      </c>
      <c r="E64" s="1" t="s">
        <v>486</v>
      </c>
      <c r="F64" s="1" t="s">
        <v>488</v>
      </c>
      <c r="G64" s="1" t="s">
        <v>97</v>
      </c>
      <c r="H64" s="1"/>
      <c r="I64" s="1"/>
      <c r="J64" s="1"/>
      <c r="K64" s="1"/>
      <c r="L64" s="1">
        <v>2</v>
      </c>
      <c r="M64" s="4" t="str">
        <f t="shared" si="3"/>
        <v/>
      </c>
      <c r="N64" s="4" t="str">
        <f t="shared" si="4"/>
        <v/>
      </c>
      <c r="O64" s="1" t="str">
        <f t="shared" si="5"/>
        <v>Sin evaluar</v>
      </c>
    </row>
    <row r="65" spans="1:15" ht="28.5">
      <c r="A65" s="1" t="s">
        <v>489</v>
      </c>
      <c r="B65" s="1" t="s">
        <v>476</v>
      </c>
      <c r="C65" s="1" t="s">
        <v>490</v>
      </c>
      <c r="D65" s="1" t="s">
        <v>491</v>
      </c>
      <c r="E65" s="1" t="s">
        <v>493</v>
      </c>
      <c r="F65" s="1" t="s">
        <v>495</v>
      </c>
      <c r="G65" s="1" t="s">
        <v>97</v>
      </c>
      <c r="H65" s="1"/>
      <c r="I65" s="1"/>
      <c r="J65" s="1"/>
      <c r="K65" s="1"/>
      <c r="L65" s="1">
        <v>2</v>
      </c>
      <c r="M65" s="4" t="str">
        <f t="shared" si="3"/>
        <v/>
      </c>
      <c r="N65" s="4" t="str">
        <f t="shared" si="4"/>
        <v/>
      </c>
      <c r="O65" s="1" t="str">
        <f t="shared" si="5"/>
        <v>Sin evaluar</v>
      </c>
    </row>
    <row r="66" spans="1:15" ht="28.5">
      <c r="A66" s="1" t="s">
        <v>496</v>
      </c>
      <c r="B66" s="1" t="s">
        <v>476</v>
      </c>
      <c r="C66" s="1" t="s">
        <v>477</v>
      </c>
      <c r="D66" s="1" t="s">
        <v>497</v>
      </c>
      <c r="E66" s="1" t="s">
        <v>499</v>
      </c>
      <c r="F66" s="1" t="s">
        <v>501</v>
      </c>
      <c r="G66" s="1" t="s">
        <v>67</v>
      </c>
      <c r="H66" s="1"/>
      <c r="I66" s="1"/>
      <c r="J66" s="1"/>
      <c r="K66" s="1"/>
      <c r="L66" s="1">
        <v>3</v>
      </c>
      <c r="M66" s="4" t="str">
        <f t="shared" si="3"/>
        <v/>
      </c>
      <c r="N66" s="4" t="str">
        <f t="shared" si="4"/>
        <v/>
      </c>
      <c r="O66" s="1" t="str">
        <f t="shared" si="5"/>
        <v>Sin evaluar</v>
      </c>
    </row>
    <row r="67" spans="1:15" ht="28.5">
      <c r="A67" s="1" t="s">
        <v>502</v>
      </c>
      <c r="B67" s="1" t="s">
        <v>476</v>
      </c>
      <c r="C67" s="1" t="s">
        <v>477</v>
      </c>
      <c r="D67" s="1" t="s">
        <v>503</v>
      </c>
      <c r="E67" s="1" t="s">
        <v>505</v>
      </c>
      <c r="F67" s="1" t="s">
        <v>507</v>
      </c>
      <c r="G67" s="1" t="s">
        <v>67</v>
      </c>
      <c r="H67" s="1"/>
      <c r="I67" s="1"/>
      <c r="J67" s="1"/>
      <c r="K67" s="1"/>
      <c r="L67" s="1">
        <v>3</v>
      </c>
      <c r="M67" s="4" t="str">
        <f t="shared" si="3"/>
        <v/>
      </c>
      <c r="N67" s="4" t="str">
        <f t="shared" si="4"/>
        <v/>
      </c>
      <c r="O67" s="1" t="str">
        <f t="shared" si="5"/>
        <v>Sin evaluar</v>
      </c>
    </row>
    <row r="68" spans="1:15">
      <c r="A68" s="1"/>
      <c r="B68" s="1"/>
      <c r="C68" s="1"/>
      <c r="D68" s="1"/>
      <c r="E68" s="1"/>
      <c r="F68" s="1"/>
      <c r="G68" s="1"/>
      <c r="H68" s="1"/>
      <c r="I68" s="1"/>
      <c r="J68" s="1"/>
      <c r="K68" s="1"/>
      <c r="L68" s="1"/>
      <c r="M68" s="1"/>
      <c r="N68" s="1"/>
      <c r="O68" s="1"/>
    </row>
    <row r="69" spans="1:15">
      <c r="A69" s="1"/>
      <c r="B69" s="1"/>
      <c r="C69" s="1"/>
      <c r="D69" s="1"/>
      <c r="E69" s="1"/>
      <c r="F69" s="1"/>
      <c r="G69" s="1"/>
      <c r="H69" s="1"/>
      <c r="I69" s="1"/>
      <c r="J69" s="1"/>
      <c r="K69" s="1"/>
      <c r="L69" s="1"/>
      <c r="M69" s="1"/>
      <c r="N69" s="1"/>
      <c r="O69" s="1"/>
    </row>
    <row r="70" spans="1:15" ht="15">
      <c r="A70" s="7" t="s">
        <v>524</v>
      </c>
      <c r="B70" s="10"/>
      <c r="C70" s="7"/>
      <c r="D70" s="7"/>
      <c r="E70" s="1"/>
      <c r="F70" s="1"/>
      <c r="G70" s="1"/>
      <c r="H70" s="1"/>
      <c r="I70" s="1"/>
      <c r="J70" s="1"/>
      <c r="K70" s="1"/>
      <c r="L70" s="1"/>
      <c r="M70" s="1"/>
      <c r="N70" s="1"/>
      <c r="O70" s="1"/>
    </row>
    <row r="71" spans="1:15" ht="28.5">
      <c r="A71" s="1" t="s">
        <v>525</v>
      </c>
      <c r="B71" s="5">
        <f>COUNTA(A5:A67)</f>
        <v>63</v>
      </c>
      <c r="C71" s="1"/>
      <c r="D71" s="1"/>
      <c r="E71" s="1"/>
      <c r="F71" s="1"/>
      <c r="G71" s="1"/>
      <c r="H71" s="1"/>
      <c r="I71" s="1"/>
      <c r="J71" s="1"/>
      <c r="K71" s="1"/>
      <c r="L71" s="1"/>
      <c r="M71" s="1"/>
      <c r="N71" s="1"/>
      <c r="O71" s="1"/>
    </row>
    <row r="72" spans="1:15" ht="28.5">
      <c r="A72" s="1" t="s">
        <v>526</v>
      </c>
      <c r="B72" s="5">
        <f>COUNTIF(H5:H67,"Cumple")+COUNTIF(H5:H67,"Parcial")+COUNTIF(H5:H67,"No cumple")</f>
        <v>0</v>
      </c>
      <c r="C72" s="1"/>
      <c r="D72" s="1"/>
      <c r="E72" s="1"/>
      <c r="F72" s="1"/>
      <c r="G72" s="1"/>
      <c r="H72" s="1"/>
      <c r="I72" s="1"/>
      <c r="J72" s="1"/>
      <c r="K72" s="1"/>
      <c r="L72" s="1"/>
      <c r="M72" s="1"/>
      <c r="N72" s="1"/>
      <c r="O72" s="1"/>
    </row>
    <row r="73" spans="1:15">
      <c r="A73" s="1" t="s">
        <v>527</v>
      </c>
      <c r="B73" s="5">
        <f>COUNTIF(H5:H67,"Cumple")</f>
        <v>0</v>
      </c>
      <c r="C73" s="1"/>
      <c r="D73" s="1"/>
      <c r="E73" s="1"/>
      <c r="F73" s="1"/>
      <c r="G73" s="1"/>
      <c r="H73" s="1"/>
      <c r="I73" s="1"/>
      <c r="J73" s="1"/>
      <c r="K73" s="1"/>
      <c r="L73" s="1"/>
      <c r="M73" s="1"/>
      <c r="N73" s="1"/>
      <c r="O73" s="1"/>
    </row>
    <row r="74" spans="1:15">
      <c r="A74" s="1" t="s">
        <v>528</v>
      </c>
      <c r="B74" s="5">
        <f>COUNTIF(H5:H67,"Parcial")</f>
        <v>0</v>
      </c>
      <c r="C74" s="1"/>
      <c r="D74" s="1"/>
      <c r="E74" s="1"/>
      <c r="F74" s="1"/>
      <c r="G74" s="1"/>
      <c r="H74" s="1"/>
      <c r="I74" s="1"/>
      <c r="J74" s="1"/>
      <c r="K74" s="1"/>
      <c r="L74" s="1"/>
      <c r="M74" s="1"/>
      <c r="N74" s="1"/>
      <c r="O74" s="1"/>
    </row>
    <row r="75" spans="1:15">
      <c r="A75" s="1" t="s">
        <v>529</v>
      </c>
      <c r="B75" s="5">
        <f>COUNTIF(H5:H67,"No cumple")</f>
        <v>0</v>
      </c>
      <c r="C75" s="1"/>
      <c r="D75" s="1"/>
      <c r="E75" s="1"/>
      <c r="F75" s="1"/>
      <c r="G75" s="1"/>
      <c r="H75" s="1"/>
      <c r="I75" s="1"/>
      <c r="J75" s="1"/>
      <c r="K75" s="1"/>
      <c r="L75" s="1"/>
      <c r="M75" s="1"/>
      <c r="N75" s="1"/>
      <c r="O75" s="1"/>
    </row>
    <row r="76" spans="1:15" ht="42.75">
      <c r="A76" s="1" t="s">
        <v>530</v>
      </c>
      <c r="B76" s="1">
        <f>SUM(N5:N67)/SUM(L5:L67)</f>
        <v>0</v>
      </c>
      <c r="C76" s="1"/>
      <c r="D76" s="1"/>
      <c r="E76" s="1"/>
      <c r="F76" s="1"/>
      <c r="G76" s="1"/>
      <c r="H76" s="1"/>
      <c r="I76" s="1"/>
      <c r="J76" s="1"/>
      <c r="K76" s="1"/>
      <c r="L76" s="1"/>
      <c r="M76" s="1"/>
      <c r="N76" s="1"/>
      <c r="O76" s="1"/>
    </row>
    <row r="77" spans="1:15">
      <c r="A77" s="1"/>
      <c r="B77" s="1"/>
      <c r="C77" s="1"/>
      <c r="D77" s="1"/>
      <c r="E77" s="1"/>
      <c r="F77" s="1"/>
      <c r="G77" s="1"/>
      <c r="H77" s="1"/>
      <c r="I77" s="1"/>
      <c r="J77" s="1"/>
      <c r="K77" s="1"/>
      <c r="L77" s="1"/>
      <c r="M77" s="1"/>
      <c r="N77" s="1"/>
      <c r="O77" s="1"/>
    </row>
  </sheetData>
  <mergeCells count="5">
    <mergeCell ref="A1:O1"/>
    <mergeCell ref="B2:D2"/>
    <mergeCell ref="F2:G2"/>
    <mergeCell ref="I2:O2"/>
    <mergeCell ref="A70:D70"/>
  </mergeCells>
  <conditionalFormatting sqref="H5:H67">
    <cfRule type="expression" dxfId="2" priority="1">
      <formula>$H5="Cumple"</formula>
    </cfRule>
    <cfRule type="expression" dxfId="1" priority="2">
      <formula>$H5="Parcial"</formula>
    </cfRule>
    <cfRule type="expression" dxfId="0" priority="3">
      <formula>$H5="No cumple"</formula>
    </cfRule>
  </conditionalFormatting>
  <dataValidations count="1">
    <dataValidation type="list" sqref="H5:H67" xr:uid="{00000000-0002-0000-0200-000000000000}">
      <formula1>"Cumple,Parcial,No cumple"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selection activeCell="C5" sqref="C5"/>
    </sheetView>
  </sheetViews>
  <sheetFormatPr baseColWidth="10" defaultColWidth="9" defaultRowHeight="14.25"/>
  <cols>
    <col min="1" max="1" width="10" customWidth="1"/>
    <col min="2" max="2" width="20" customWidth="1"/>
    <col min="3" max="3" width="32" customWidth="1"/>
    <col min="4" max="4" width="45" customWidth="1"/>
    <col min="5" max="5" width="36" customWidth="1"/>
    <col min="6" max="6" width="30" customWidth="1"/>
    <col min="7" max="7" width="16" customWidth="1"/>
    <col min="8" max="8" width="22" customWidth="1"/>
    <col min="9" max="9" width="30" customWidth="1"/>
  </cols>
  <sheetData>
    <row r="1" spans="1:9" ht="15">
      <c r="A1" s="2" t="s">
        <v>48</v>
      </c>
      <c r="B1" s="2" t="s">
        <v>49</v>
      </c>
      <c r="C1" s="2" t="s">
        <v>531</v>
      </c>
      <c r="D1" s="2" t="s">
        <v>532</v>
      </c>
      <c r="E1" s="2" t="s">
        <v>533</v>
      </c>
      <c r="F1" s="2" t="s">
        <v>534</v>
      </c>
      <c r="G1" s="2" t="s">
        <v>535</v>
      </c>
      <c r="H1" s="2" t="s">
        <v>536</v>
      </c>
      <c r="I1" s="2" t="s">
        <v>537</v>
      </c>
    </row>
    <row r="2" spans="1:9" ht="28.5">
      <c r="A2" s="1" t="s">
        <v>538</v>
      </c>
      <c r="B2" s="1" t="s">
        <v>61</v>
      </c>
      <c r="C2" s="1" t="s">
        <v>65</v>
      </c>
      <c r="D2" s="1" t="s">
        <v>539</v>
      </c>
      <c r="E2" s="1" t="s">
        <v>540</v>
      </c>
      <c r="F2" s="1" t="s">
        <v>541</v>
      </c>
      <c r="G2" s="1" t="s">
        <v>542</v>
      </c>
      <c r="H2" s="1" t="s">
        <v>543</v>
      </c>
      <c r="I2" s="1" t="s">
        <v>544</v>
      </c>
    </row>
    <row r="3" spans="1:9" ht="28.5">
      <c r="A3" s="1" t="s">
        <v>545</v>
      </c>
      <c r="B3" s="1" t="s">
        <v>61</v>
      </c>
      <c r="C3" s="1" t="s">
        <v>546</v>
      </c>
      <c r="D3" s="1" t="s">
        <v>547</v>
      </c>
      <c r="E3" s="1" t="s">
        <v>548</v>
      </c>
      <c r="F3" s="1" t="s">
        <v>549</v>
      </c>
      <c r="G3" s="1" t="s">
        <v>550</v>
      </c>
      <c r="H3" s="1" t="s">
        <v>551</v>
      </c>
      <c r="I3" s="1" t="s">
        <v>552</v>
      </c>
    </row>
    <row r="4" spans="1:9" ht="28.5">
      <c r="A4" s="1" t="s">
        <v>553</v>
      </c>
      <c r="B4" s="1" t="s">
        <v>107</v>
      </c>
      <c r="C4" s="1" t="s">
        <v>111</v>
      </c>
      <c r="D4" s="1" t="s">
        <v>554</v>
      </c>
      <c r="E4" s="1" t="s">
        <v>555</v>
      </c>
      <c r="F4" s="1" t="s">
        <v>556</v>
      </c>
      <c r="G4" s="1" t="s">
        <v>557</v>
      </c>
      <c r="H4" s="1" t="s">
        <v>558</v>
      </c>
      <c r="I4" s="1" t="s">
        <v>559</v>
      </c>
    </row>
    <row r="5" spans="1:9" ht="28.5">
      <c r="A5" s="1" t="s">
        <v>560</v>
      </c>
      <c r="B5" s="1" t="s">
        <v>107</v>
      </c>
      <c r="C5" s="1" t="s">
        <v>118</v>
      </c>
      <c r="D5" s="1" t="s">
        <v>561</v>
      </c>
      <c r="E5" s="1" t="s">
        <v>562</v>
      </c>
      <c r="F5" s="1" t="s">
        <v>563</v>
      </c>
      <c r="G5" s="1" t="s">
        <v>557</v>
      </c>
      <c r="H5" s="1" t="s">
        <v>564</v>
      </c>
      <c r="I5" s="1" t="s">
        <v>565</v>
      </c>
    </row>
    <row r="6" spans="1:9" ht="28.5">
      <c r="A6" s="1" t="s">
        <v>566</v>
      </c>
      <c r="B6" s="1" t="s">
        <v>567</v>
      </c>
      <c r="C6" s="1" t="s">
        <v>146</v>
      </c>
      <c r="D6" s="1" t="s">
        <v>568</v>
      </c>
      <c r="E6" s="1" t="s">
        <v>569</v>
      </c>
      <c r="F6" s="1" t="s">
        <v>570</v>
      </c>
      <c r="G6" s="1" t="s">
        <v>571</v>
      </c>
      <c r="H6" s="1" t="s">
        <v>572</v>
      </c>
      <c r="I6" s="1" t="s">
        <v>573</v>
      </c>
    </row>
    <row r="7" spans="1:9" ht="28.5">
      <c r="A7" s="1" t="s">
        <v>574</v>
      </c>
      <c r="B7" s="1" t="s">
        <v>567</v>
      </c>
      <c r="C7" s="1" t="s">
        <v>575</v>
      </c>
      <c r="D7" s="1" t="s">
        <v>576</v>
      </c>
      <c r="E7" s="1" t="s">
        <v>577</v>
      </c>
      <c r="F7" s="1" t="s">
        <v>578</v>
      </c>
      <c r="G7" s="1" t="s">
        <v>571</v>
      </c>
      <c r="H7" s="1" t="s">
        <v>579</v>
      </c>
      <c r="I7" s="1" t="s">
        <v>580</v>
      </c>
    </row>
    <row r="8" spans="1:9">
      <c r="A8" s="1" t="s">
        <v>581</v>
      </c>
      <c r="B8" s="1" t="s">
        <v>567</v>
      </c>
      <c r="C8" s="1" t="s">
        <v>160</v>
      </c>
      <c r="D8" s="1" t="s">
        <v>582</v>
      </c>
      <c r="E8" s="1" t="s">
        <v>583</v>
      </c>
      <c r="F8" s="1" t="s">
        <v>578</v>
      </c>
      <c r="G8" s="1" t="s">
        <v>571</v>
      </c>
      <c r="H8" s="1" t="s">
        <v>572</v>
      </c>
      <c r="I8" s="1" t="s">
        <v>584</v>
      </c>
    </row>
    <row r="9" spans="1:9" ht="28.5">
      <c r="A9" s="1" t="s">
        <v>585</v>
      </c>
      <c r="B9" s="1" t="s">
        <v>567</v>
      </c>
      <c r="C9" s="1" t="s">
        <v>167</v>
      </c>
      <c r="D9" s="1" t="s">
        <v>586</v>
      </c>
      <c r="E9" s="1" t="s">
        <v>587</v>
      </c>
      <c r="F9" s="1" t="s">
        <v>588</v>
      </c>
      <c r="G9" s="1" t="s">
        <v>542</v>
      </c>
      <c r="H9" s="1" t="s">
        <v>589</v>
      </c>
      <c r="I9" s="1" t="s">
        <v>590</v>
      </c>
    </row>
    <row r="10" spans="1:9">
      <c r="A10" s="1" t="s">
        <v>591</v>
      </c>
      <c r="B10" s="1" t="s">
        <v>592</v>
      </c>
      <c r="C10" s="1" t="s">
        <v>593</v>
      </c>
      <c r="D10" s="1" t="s">
        <v>594</v>
      </c>
      <c r="E10" s="1" t="s">
        <v>595</v>
      </c>
      <c r="F10" s="1" t="s">
        <v>596</v>
      </c>
      <c r="G10" s="1" t="s">
        <v>542</v>
      </c>
      <c r="H10" s="1" t="s">
        <v>597</v>
      </c>
      <c r="I10" s="1" t="s">
        <v>148</v>
      </c>
    </row>
    <row r="11" spans="1:9" ht="28.5">
      <c r="A11" s="1" t="s">
        <v>598</v>
      </c>
      <c r="B11" s="1" t="s">
        <v>592</v>
      </c>
      <c r="C11" s="1" t="s">
        <v>599</v>
      </c>
      <c r="D11" s="1" t="s">
        <v>600</v>
      </c>
      <c r="E11" s="1" t="s">
        <v>601</v>
      </c>
      <c r="F11" s="1" t="s">
        <v>602</v>
      </c>
      <c r="G11" s="1" t="s">
        <v>542</v>
      </c>
      <c r="H11" s="1" t="s">
        <v>589</v>
      </c>
      <c r="I11" s="1" t="s">
        <v>603</v>
      </c>
    </row>
    <row r="12" spans="1:9" ht="28.5">
      <c r="A12" s="1" t="s">
        <v>604</v>
      </c>
      <c r="B12" s="1" t="s">
        <v>592</v>
      </c>
      <c r="C12" s="1" t="s">
        <v>605</v>
      </c>
      <c r="D12" s="1" t="s">
        <v>606</v>
      </c>
      <c r="E12" s="1" t="s">
        <v>607</v>
      </c>
      <c r="F12" s="1" t="s">
        <v>608</v>
      </c>
      <c r="G12" s="1" t="s">
        <v>609</v>
      </c>
      <c r="H12" s="1" t="s">
        <v>610</v>
      </c>
      <c r="I12" s="1" t="s">
        <v>611</v>
      </c>
    </row>
    <row r="13" spans="1:9" ht="28.5">
      <c r="A13" s="1" t="s">
        <v>612</v>
      </c>
      <c r="B13" s="1" t="s">
        <v>613</v>
      </c>
      <c r="C13" s="1" t="s">
        <v>614</v>
      </c>
      <c r="D13" s="1" t="s">
        <v>615</v>
      </c>
      <c r="E13" s="1" t="s">
        <v>616</v>
      </c>
      <c r="F13" s="1" t="s">
        <v>617</v>
      </c>
      <c r="G13" s="1" t="s">
        <v>542</v>
      </c>
      <c r="H13" s="1" t="s">
        <v>572</v>
      </c>
      <c r="I13" s="1" t="s">
        <v>618</v>
      </c>
    </row>
    <row r="14" spans="1:9" ht="28.5">
      <c r="A14" s="1" t="s">
        <v>619</v>
      </c>
      <c r="B14" s="1" t="s">
        <v>613</v>
      </c>
      <c r="C14" s="1" t="s">
        <v>353</v>
      </c>
      <c r="D14" s="1" t="s">
        <v>620</v>
      </c>
      <c r="E14" s="1" t="s">
        <v>621</v>
      </c>
      <c r="F14" s="1" t="s">
        <v>622</v>
      </c>
      <c r="G14" s="1" t="s">
        <v>571</v>
      </c>
      <c r="H14" s="1" t="s">
        <v>623</v>
      </c>
      <c r="I14" s="1" t="s">
        <v>624</v>
      </c>
    </row>
    <row r="15" spans="1:9">
      <c r="A15" s="1" t="s">
        <v>625</v>
      </c>
      <c r="B15" s="1" t="s">
        <v>316</v>
      </c>
      <c r="C15" s="1" t="s">
        <v>332</v>
      </c>
      <c r="D15" s="1" t="s">
        <v>626</v>
      </c>
      <c r="E15" s="1" t="s">
        <v>627</v>
      </c>
      <c r="F15" s="1" t="s">
        <v>628</v>
      </c>
      <c r="G15" s="1" t="s">
        <v>542</v>
      </c>
      <c r="H15" s="1" t="s">
        <v>629</v>
      </c>
      <c r="I15" s="1" t="s">
        <v>630</v>
      </c>
    </row>
    <row r="16" spans="1:9" ht="28.5">
      <c r="A16" s="1" t="s">
        <v>631</v>
      </c>
      <c r="B16" s="1" t="s">
        <v>294</v>
      </c>
      <c r="C16" s="1" t="s">
        <v>304</v>
      </c>
      <c r="D16" s="1" t="s">
        <v>632</v>
      </c>
      <c r="E16" s="1" t="s">
        <v>633</v>
      </c>
      <c r="F16" s="1" t="s">
        <v>634</v>
      </c>
      <c r="G16" s="1" t="s">
        <v>635</v>
      </c>
      <c r="H16" s="1" t="s">
        <v>636</v>
      </c>
      <c r="I16" s="1" t="s">
        <v>637</v>
      </c>
    </row>
    <row r="17" spans="1:9" ht="28.5">
      <c r="A17" s="1" t="s">
        <v>638</v>
      </c>
      <c r="B17" s="1" t="s">
        <v>412</v>
      </c>
      <c r="C17" s="1" t="s">
        <v>639</v>
      </c>
      <c r="D17" s="1" t="s">
        <v>640</v>
      </c>
      <c r="E17" s="1" t="s">
        <v>641</v>
      </c>
      <c r="F17" s="1" t="s">
        <v>642</v>
      </c>
      <c r="G17" s="1" t="s">
        <v>643</v>
      </c>
      <c r="H17" s="1" t="s">
        <v>644</v>
      </c>
      <c r="I17" s="1" t="s">
        <v>645</v>
      </c>
    </row>
    <row r="18" spans="1:9" ht="28.5">
      <c r="A18" s="1" t="s">
        <v>646</v>
      </c>
      <c r="B18" s="1" t="s">
        <v>647</v>
      </c>
      <c r="C18" s="1" t="s">
        <v>217</v>
      </c>
      <c r="D18" s="1" t="s">
        <v>648</v>
      </c>
      <c r="E18" s="1" t="s">
        <v>649</v>
      </c>
      <c r="F18" s="1" t="s">
        <v>650</v>
      </c>
      <c r="G18" s="1" t="s">
        <v>651</v>
      </c>
      <c r="H18" s="1" t="s">
        <v>652</v>
      </c>
      <c r="I18" s="1" t="s">
        <v>490</v>
      </c>
    </row>
    <row r="19" spans="1:9" ht="28.5">
      <c r="A19" s="1" t="s">
        <v>653</v>
      </c>
      <c r="B19" s="1" t="s">
        <v>654</v>
      </c>
      <c r="C19" s="1" t="s">
        <v>655</v>
      </c>
      <c r="D19" s="1" t="s">
        <v>656</v>
      </c>
      <c r="E19" s="1" t="s">
        <v>657</v>
      </c>
      <c r="F19" s="1" t="s">
        <v>658</v>
      </c>
      <c r="G19" s="1" t="s">
        <v>651</v>
      </c>
      <c r="H19" s="1" t="s">
        <v>659</v>
      </c>
      <c r="I19" s="1" t="s">
        <v>660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1"/>
  <sheetViews>
    <sheetView workbookViewId="0"/>
  </sheetViews>
  <sheetFormatPr baseColWidth="10" defaultColWidth="9" defaultRowHeight="14.25"/>
  <cols>
    <col min="1" max="1" width="22" customWidth="1"/>
    <col min="2" max="2" width="50" customWidth="1"/>
  </cols>
  <sheetData>
    <row r="1" spans="1:2" ht="15">
      <c r="A1" s="2" t="s">
        <v>661</v>
      </c>
      <c r="B1" s="2" t="s">
        <v>662</v>
      </c>
    </row>
    <row r="2" spans="1:2">
      <c r="A2" s="1" t="s">
        <v>516</v>
      </c>
      <c r="B2" s="1" t="s">
        <v>527</v>
      </c>
    </row>
    <row r="3" spans="1:2">
      <c r="A3" s="1" t="s">
        <v>516</v>
      </c>
      <c r="B3" s="1" t="s">
        <v>528</v>
      </c>
    </row>
    <row r="4" spans="1:2">
      <c r="A4" s="1" t="s">
        <v>516</v>
      </c>
      <c r="B4" s="1" t="s">
        <v>529</v>
      </c>
    </row>
    <row r="5" spans="1:2">
      <c r="A5" s="1" t="s">
        <v>56</v>
      </c>
      <c r="B5" s="1" t="s">
        <v>67</v>
      </c>
    </row>
    <row r="6" spans="1:2">
      <c r="A6" s="1" t="s">
        <v>56</v>
      </c>
      <c r="B6" s="1" t="s">
        <v>97</v>
      </c>
    </row>
    <row r="7" spans="1:2">
      <c r="A7" s="1" t="s">
        <v>56</v>
      </c>
      <c r="B7" s="1" t="s">
        <v>663</v>
      </c>
    </row>
    <row r="8" spans="1:2">
      <c r="A8" s="1" t="s">
        <v>57</v>
      </c>
      <c r="B8" s="1" t="s">
        <v>68</v>
      </c>
    </row>
    <row r="9" spans="1:2">
      <c r="A9" s="1" t="s">
        <v>57</v>
      </c>
      <c r="B9" s="1" t="s">
        <v>104</v>
      </c>
    </row>
    <row r="10" spans="1:2">
      <c r="A10" s="1" t="s">
        <v>49</v>
      </c>
      <c r="B10" s="1" t="s">
        <v>185</v>
      </c>
    </row>
    <row r="11" spans="1:2">
      <c r="A11" s="1" t="s">
        <v>49</v>
      </c>
      <c r="B11" s="1" t="s">
        <v>348</v>
      </c>
    </row>
    <row r="12" spans="1:2">
      <c r="A12" s="1" t="s">
        <v>49</v>
      </c>
      <c r="B12" s="1" t="s">
        <v>228</v>
      </c>
    </row>
    <row r="13" spans="1:2">
      <c r="A13" s="1" t="s">
        <v>49</v>
      </c>
      <c r="B13" s="1" t="s">
        <v>315</v>
      </c>
    </row>
    <row r="14" spans="1:2">
      <c r="A14" s="1" t="s">
        <v>49</v>
      </c>
      <c r="B14" s="1" t="s">
        <v>271</v>
      </c>
    </row>
    <row r="15" spans="1:2">
      <c r="A15" s="1" t="s">
        <v>49</v>
      </c>
      <c r="B15" s="1" t="s">
        <v>411</v>
      </c>
    </row>
    <row r="16" spans="1:2">
      <c r="A16" s="1" t="s">
        <v>49</v>
      </c>
      <c r="B16" s="1" t="s">
        <v>106</v>
      </c>
    </row>
    <row r="17" spans="1:2">
      <c r="A17" s="1" t="s">
        <v>49</v>
      </c>
      <c r="B17" s="1" t="s">
        <v>60</v>
      </c>
    </row>
    <row r="18" spans="1:2">
      <c r="A18" s="1" t="s">
        <v>49</v>
      </c>
      <c r="B18" s="1" t="s">
        <v>476</v>
      </c>
    </row>
    <row r="19" spans="1:2">
      <c r="A19" s="1" t="s">
        <v>49</v>
      </c>
      <c r="B19" s="1" t="s">
        <v>440</v>
      </c>
    </row>
    <row r="20" spans="1:2">
      <c r="A20" s="1" t="s">
        <v>49</v>
      </c>
      <c r="B20" s="1" t="s">
        <v>382</v>
      </c>
    </row>
    <row r="21" spans="1:2">
      <c r="A21" s="1" t="s">
        <v>49</v>
      </c>
      <c r="B21" s="1" t="s">
        <v>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baseColWidth="10" defaultColWidth="9" defaultRowHeight="14.25"/>
  <cols>
    <col min="1" max="1" width="16" customWidth="1"/>
    <col min="2" max="2" width="30" customWidth="1"/>
    <col min="3" max="3" width="46" customWidth="1"/>
    <col min="4" max="4" width="70" customWidth="1"/>
  </cols>
  <sheetData>
    <row r="1" spans="1:4" ht="15">
      <c r="A1" s="2" t="s">
        <v>57</v>
      </c>
      <c r="B1" s="2" t="s">
        <v>664</v>
      </c>
      <c r="C1" s="2" t="s">
        <v>665</v>
      </c>
      <c r="D1" s="2" t="s">
        <v>666</v>
      </c>
    </row>
    <row r="2" spans="1:4" ht="28.5">
      <c r="A2" s="1" t="s">
        <v>667</v>
      </c>
      <c r="B2" s="1" t="s">
        <v>83</v>
      </c>
      <c r="C2" s="1" t="s">
        <v>668</v>
      </c>
      <c r="D2" s="1" t="s">
        <v>669</v>
      </c>
    </row>
    <row r="3" spans="1:4" ht="28.5">
      <c r="A3" s="1" t="s">
        <v>670</v>
      </c>
      <c r="B3" s="1" t="s">
        <v>671</v>
      </c>
      <c r="C3" s="1" t="s">
        <v>672</v>
      </c>
      <c r="D3" s="1" t="s">
        <v>673</v>
      </c>
    </row>
    <row r="4" spans="1:4" ht="28.5">
      <c r="A4" s="1" t="s">
        <v>674</v>
      </c>
      <c r="B4" s="1" t="s">
        <v>675</v>
      </c>
      <c r="C4" s="1" t="s">
        <v>676</v>
      </c>
      <c r="D4" s="1" t="s">
        <v>677</v>
      </c>
    </row>
    <row r="5" spans="1:4" ht="28.5">
      <c r="A5" s="1" t="s">
        <v>678</v>
      </c>
      <c r="B5" s="1" t="s">
        <v>679</v>
      </c>
      <c r="C5" s="1" t="s">
        <v>680</v>
      </c>
      <c r="D5" s="1" t="s">
        <v>681</v>
      </c>
    </row>
    <row r="6" spans="1:4" ht="28.5">
      <c r="A6" s="1" t="s">
        <v>678</v>
      </c>
      <c r="B6" s="1" t="s">
        <v>682</v>
      </c>
      <c r="C6" s="1" t="s">
        <v>683</v>
      </c>
      <c r="D6" s="1" t="s">
        <v>684</v>
      </c>
    </row>
    <row r="7" spans="1:4" ht="28.5">
      <c r="A7" s="1" t="s">
        <v>674</v>
      </c>
      <c r="B7" s="1" t="s">
        <v>306</v>
      </c>
      <c r="C7" s="1" t="s">
        <v>685</v>
      </c>
      <c r="D7" s="1" t="s">
        <v>686</v>
      </c>
    </row>
    <row r="8" spans="1:4" ht="28.5">
      <c r="A8" s="1" t="s">
        <v>674</v>
      </c>
      <c r="B8" s="1" t="s">
        <v>687</v>
      </c>
      <c r="C8" s="1" t="s">
        <v>688</v>
      </c>
      <c r="D8" s="1"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 y alineación</vt:lpstr>
      <vt:lpstr>Matriz requerimientos</vt:lpstr>
      <vt:lpstr>Evaluación proveedor</vt:lpstr>
      <vt:lpstr>Indicadores</vt:lpstr>
      <vt:lpstr>Catálogos</vt:lpstr>
      <vt:lpstr>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Andres Leyva</cp:lastModifiedBy>
  <dcterms:modified xsi:type="dcterms:W3CDTF">2026-07-03T13:43:55Z</dcterms:modified>
</cp:coreProperties>
</file>